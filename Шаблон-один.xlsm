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Азалия\Проект\"/>
    </mc:Choice>
  </mc:AlternateContent>
  <bookViews>
    <workbookView xWindow="0" yWindow="0" windowWidth="13200" windowHeight="5370" activeTab="3"/>
  </bookViews>
  <sheets>
    <sheet name="Лист1" sheetId="1" r:id="rId1"/>
    <sheet name="Лист2" sheetId="2" r:id="rId2"/>
    <sheet name="Лист3" sheetId="3" r:id="rId3"/>
    <sheet name="НДС" sheetId="4" r:id="rId4"/>
  </sheets>
  <externalReferences>
    <externalReference r:id="rId5"/>
    <externalReference r:id="rId6"/>
    <externalReference r:id="rId7"/>
  </externalReferences>
  <definedNames>
    <definedName name="_xlnm._FilterDatabase" localSheetId="3" hidden="1">НДС!$A$16:$DU$53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FilterData" localSheetId="3" hidden="1">НДС!$A$16:$CM$53</definedName>
    <definedName name="Z_4CF1A532_27B8_48D2_98EC_7936CAAD6AE4_.wvu.FilterData" localSheetId="3" hidden="1">НДС!$A$16:$CM$53</definedName>
    <definedName name="Z_63874122_4199_4419_9D4A_92570670E6F0_.wvu.Cols" localSheetId="3" hidden="1">НДС!$AV:$AV</definedName>
    <definedName name="Z_63874122_4199_4419_9D4A_92570670E6F0_.wvu.PrintArea" localSheetId="3" hidden="1">НДС!$A$1:$AA$53</definedName>
    <definedName name="Z_83A7DED5_3C7F_4540_AF8D_42657FBA8B32_.wvu.FilterData" localSheetId="3" hidden="1">НДС!$A$16:$CM$53</definedName>
    <definedName name="Z_890D773F_222E_4E8F_92FE_C5E6D603D202_.wvu.FilterData" localSheetId="3" hidden="1">НДС!$A$16:$CM$53</definedName>
    <definedName name="Z_B16DE563_1813_4335_AC59_C6BF99965967_.wvu.Cols" localSheetId="3" hidden="1">НДС!$AV:$AV</definedName>
    <definedName name="Z_B16DE563_1813_4335_AC59_C6BF99965967_.wvu.PrintArea" localSheetId="3" hidden="1">НДС!$A$1:$AA$53</definedName>
    <definedName name="Z_B6BA17AC_379A_4300_86D2_12D8962E22F4_.wvu.Cols" localSheetId="3" hidden="1">НДС!$AV:$AV</definedName>
    <definedName name="Z_B6BA17AC_379A_4300_86D2_12D8962E22F4_.wvu.PrintArea" localSheetId="3" hidden="1">НДС!$A$1:$AA$53</definedName>
    <definedName name="Z_B7B22E86_EDFC_4013_9ADA_9E40546F3AE3_.wvu.Cols" localSheetId="3" hidden="1">НДС!$AV:$AV</definedName>
    <definedName name="Z_B7B22E86_EDFC_4013_9ADA_9E40546F3AE3_.wvu.PrintArea" localSheetId="3" hidden="1">НДС!$A$1:$AA$53</definedName>
    <definedName name="Z_BC3DAD6B_4EB9_4EE4_A838_5ECB443A15AF_.wvu.FilterData" localSheetId="3" hidden="1">НДС!$A$16:$CM$53</definedName>
    <definedName name="Z_C1C253C6_5183_41FF_BE92_57A77F655F66_.wvu.FilterData" localSheetId="3" hidden="1">НДС!$A$16:$CM$53</definedName>
    <definedName name="Z_CD17EB17_5907_4F10_9DF1_DC81F5DB43CD_.wvu.FilterData" localSheetId="3" hidden="1">НДС!$A$16:$CM$53</definedName>
    <definedName name="Z_CE0D0BCD_F252_4385_A5D3_59BE0167B6F1_.wvu.FilterData" localSheetId="3" hidden="1">НДС!$A$16:$CM$53</definedName>
    <definedName name="Z_F0AB15E8_180E_4797_8AF9_DDE2A0CA2F2F_.wvu.FilterData" localSheetId="3" hidden="1">НДС!$A$16:$CM$53</definedName>
    <definedName name="выаа">#REF!</definedName>
    <definedName name="ИПС_кс_дт">#REF!</definedName>
    <definedName name="ИПС_кс_кт">#REF!</definedName>
    <definedName name="ИПС_нс_дт">#REF!</definedName>
    <definedName name="ИПС_нс_кт">#REF!</definedName>
    <definedName name="ИПС_об_дт">#REF!</definedName>
    <definedName name="ИПС_об_кт">#REF!</definedName>
    <definedName name="ИПС_ро_дт">#REF!</definedName>
    <definedName name="ИПС_ро_кт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>'[3]ОСВ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H96" i="4" l="1"/>
  <c r="CI96" i="4" s="1"/>
  <c r="CF96" i="4"/>
  <c r="CG96" i="4" s="1"/>
  <c r="CA96" i="4"/>
  <c r="BZ96" i="4"/>
  <c r="BW96" i="4"/>
  <c r="BX96" i="4" s="1"/>
  <c r="BU96" i="4"/>
  <c r="BV96" i="4" s="1"/>
  <c r="BO96" i="4"/>
  <c r="BP96" i="4" s="1"/>
  <c r="BM96" i="4"/>
  <c r="BN96" i="4" s="1"/>
  <c r="BI96" i="4"/>
  <c r="BG96" i="4"/>
  <c r="BE96" i="4"/>
  <c r="BD96" i="4"/>
  <c r="BC96" i="4"/>
  <c r="BB96" i="4"/>
  <c r="AX96" i="4"/>
  <c r="AW96" i="4"/>
  <c r="AE96" i="4"/>
  <c r="AD96" i="4"/>
  <c r="AC96" i="4"/>
  <c r="AB96" i="4"/>
  <c r="U96" i="4"/>
  <c r="K96" i="4"/>
  <c r="J96" i="4"/>
  <c r="T96" i="4" s="1"/>
  <c r="X96" i="4" s="1"/>
  <c r="G96" i="4"/>
  <c r="BJ96" i="4" s="1"/>
  <c r="F96" i="4"/>
  <c r="E96" i="4"/>
  <c r="D96" i="4"/>
  <c r="CH95" i="4"/>
  <c r="CI95" i="4" s="1"/>
  <c r="CG95" i="4"/>
  <c r="CF95" i="4"/>
  <c r="CA95" i="4"/>
  <c r="BZ95" i="4"/>
  <c r="BX95" i="4"/>
  <c r="BW95" i="4"/>
  <c r="BU95" i="4"/>
  <c r="BV95" i="4" s="1"/>
  <c r="BO95" i="4"/>
  <c r="BP95" i="4" s="1"/>
  <c r="BM95" i="4"/>
  <c r="BN95" i="4" s="1"/>
  <c r="BI95" i="4"/>
  <c r="BG95" i="4"/>
  <c r="BE95" i="4"/>
  <c r="BD95" i="4"/>
  <c r="BC95" i="4"/>
  <c r="BB95" i="4"/>
  <c r="AX95" i="4"/>
  <c r="AE95" i="4"/>
  <c r="AD95" i="4"/>
  <c r="AC95" i="4"/>
  <c r="AB95" i="4"/>
  <c r="AW95" i="4" s="1"/>
  <c r="T95" i="4"/>
  <c r="K95" i="4"/>
  <c r="U95" i="4" s="1"/>
  <c r="AK95" i="4" s="1"/>
  <c r="AO95" i="4" s="1"/>
  <c r="AS95" i="4" s="1"/>
  <c r="G95" i="4"/>
  <c r="BJ95" i="4" s="1"/>
  <c r="F95" i="4"/>
  <c r="J95" i="4" s="1"/>
  <c r="E95" i="4"/>
  <c r="D95" i="4"/>
  <c r="CH94" i="4"/>
  <c r="CI94" i="4" s="1"/>
  <c r="CF94" i="4"/>
  <c r="CG94" i="4" s="1"/>
  <c r="CA94" i="4"/>
  <c r="BZ94" i="4"/>
  <c r="BW94" i="4"/>
  <c r="BX94" i="4" s="1"/>
  <c r="BV94" i="4"/>
  <c r="BU94" i="4"/>
  <c r="BO94" i="4"/>
  <c r="BP94" i="4" s="1"/>
  <c r="BM94" i="4"/>
  <c r="BN94" i="4" s="1"/>
  <c r="BI94" i="4"/>
  <c r="BG94" i="4"/>
  <c r="BE94" i="4"/>
  <c r="BD94" i="4"/>
  <c r="BC94" i="4"/>
  <c r="BB94" i="4"/>
  <c r="AX94" i="4"/>
  <c r="AW94" i="4"/>
  <c r="AE94" i="4"/>
  <c r="AD94" i="4"/>
  <c r="AC94" i="4"/>
  <c r="AB94" i="4"/>
  <c r="X94" i="4"/>
  <c r="J94" i="4"/>
  <c r="T94" i="4" s="1"/>
  <c r="G94" i="4"/>
  <c r="F94" i="4"/>
  <c r="E94" i="4"/>
  <c r="D94" i="4"/>
  <c r="CH93" i="4"/>
  <c r="CI93" i="4" s="1"/>
  <c r="CG93" i="4"/>
  <c r="CF93" i="4"/>
  <c r="CA93" i="4"/>
  <c r="BZ93" i="4"/>
  <c r="BX93" i="4"/>
  <c r="BW93" i="4"/>
  <c r="BU93" i="4"/>
  <c r="BV93" i="4" s="1"/>
  <c r="BP93" i="4"/>
  <c r="BO93" i="4"/>
  <c r="BM93" i="4"/>
  <c r="BN93" i="4" s="1"/>
  <c r="BJ93" i="4"/>
  <c r="BI93" i="4"/>
  <c r="BG93" i="4"/>
  <c r="BE93" i="4"/>
  <c r="BD93" i="4"/>
  <c r="BC93" i="4"/>
  <c r="BB93" i="4"/>
  <c r="AX93" i="4"/>
  <c r="AK93" i="4"/>
  <c r="AO93" i="4" s="1"/>
  <c r="AS93" i="4" s="1"/>
  <c r="AE93" i="4"/>
  <c r="AD93" i="4"/>
  <c r="AC93" i="4"/>
  <c r="AB93" i="4"/>
  <c r="AW93" i="4" s="1"/>
  <c r="U93" i="4"/>
  <c r="T93" i="4"/>
  <c r="K93" i="4"/>
  <c r="G93" i="4"/>
  <c r="F93" i="4"/>
  <c r="J93" i="4" s="1"/>
  <c r="E93" i="4"/>
  <c r="D93" i="4"/>
  <c r="CI92" i="4"/>
  <c r="CH92" i="4"/>
  <c r="CF92" i="4"/>
  <c r="CG92" i="4" s="1"/>
  <c r="CA92" i="4"/>
  <c r="BZ92" i="4"/>
  <c r="BW92" i="4"/>
  <c r="BX92" i="4" s="1"/>
  <c r="BV92" i="4"/>
  <c r="BU92" i="4"/>
  <c r="BO92" i="4"/>
  <c r="BP92" i="4" s="1"/>
  <c r="BN92" i="4"/>
  <c r="BM92" i="4"/>
  <c r="BI92" i="4"/>
  <c r="BG92" i="4"/>
  <c r="BE92" i="4"/>
  <c r="BD92" i="4"/>
  <c r="BC92" i="4"/>
  <c r="BB92" i="4"/>
  <c r="AX92" i="4"/>
  <c r="AW92" i="4"/>
  <c r="AE92" i="4"/>
  <c r="AD92" i="4"/>
  <c r="AC92" i="4"/>
  <c r="AB92" i="4"/>
  <c r="X92" i="4"/>
  <c r="J92" i="4"/>
  <c r="T92" i="4" s="1"/>
  <c r="G92" i="4"/>
  <c r="F92" i="4"/>
  <c r="E92" i="4"/>
  <c r="D92" i="4"/>
  <c r="CH91" i="4"/>
  <c r="CI91" i="4" s="1"/>
  <c r="CF91" i="4"/>
  <c r="CG91" i="4" s="1"/>
  <c r="CA91" i="4"/>
  <c r="BZ91" i="4"/>
  <c r="BW91" i="4"/>
  <c r="BX91" i="4" s="1"/>
  <c r="BU91" i="4"/>
  <c r="BV91" i="4" s="1"/>
  <c r="BP91" i="4"/>
  <c r="BO91" i="4"/>
  <c r="BM91" i="4"/>
  <c r="BN91" i="4" s="1"/>
  <c r="BG91" i="4"/>
  <c r="BE91" i="4"/>
  <c r="BD91" i="4"/>
  <c r="BC91" i="4"/>
  <c r="BB91" i="4"/>
  <c r="AX91" i="4"/>
  <c r="AE91" i="4"/>
  <c r="AD91" i="4"/>
  <c r="AC91" i="4"/>
  <c r="AB91" i="4"/>
  <c r="AW91" i="4" s="1"/>
  <c r="G91" i="4"/>
  <c r="K91" i="4" s="1"/>
  <c r="U91" i="4" s="1"/>
  <c r="F91" i="4"/>
  <c r="E91" i="4"/>
  <c r="D91" i="4"/>
  <c r="CI90" i="4"/>
  <c r="CH90" i="4"/>
  <c r="CF90" i="4"/>
  <c r="CG90" i="4" s="1"/>
  <c r="CA90" i="4"/>
  <c r="BZ90" i="4"/>
  <c r="BW90" i="4"/>
  <c r="BX90" i="4" s="1"/>
  <c r="BU90" i="4"/>
  <c r="BV90" i="4" s="1"/>
  <c r="BO90" i="4"/>
  <c r="BP90" i="4" s="1"/>
  <c r="BN90" i="4"/>
  <c r="BM90" i="4"/>
  <c r="BI90" i="4"/>
  <c r="BG90" i="4"/>
  <c r="BE90" i="4"/>
  <c r="BD90" i="4"/>
  <c r="BC90" i="4"/>
  <c r="BB90" i="4"/>
  <c r="AX90" i="4"/>
  <c r="AW90" i="4"/>
  <c r="AK90" i="4"/>
  <c r="AO90" i="4" s="1"/>
  <c r="AS90" i="4" s="1"/>
  <c r="AE90" i="4"/>
  <c r="AD90" i="4"/>
  <c r="AC90" i="4"/>
  <c r="AB90" i="4"/>
  <c r="K90" i="4"/>
  <c r="U90" i="4" s="1"/>
  <c r="AZ90" i="4" s="1"/>
  <c r="J90" i="4"/>
  <c r="T90" i="4" s="1"/>
  <c r="G90" i="4"/>
  <c r="BJ90" i="4" s="1"/>
  <c r="F90" i="4"/>
  <c r="E90" i="4"/>
  <c r="D90" i="4"/>
  <c r="CH89" i="4"/>
  <c r="CI89" i="4" s="1"/>
  <c r="CF89" i="4"/>
  <c r="CG89" i="4" s="1"/>
  <c r="CA89" i="4"/>
  <c r="BZ89" i="4"/>
  <c r="BW89" i="4"/>
  <c r="BX89" i="4" s="1"/>
  <c r="BU89" i="4"/>
  <c r="BV89" i="4" s="1"/>
  <c r="BO89" i="4"/>
  <c r="BP89" i="4" s="1"/>
  <c r="BM89" i="4"/>
  <c r="BN89" i="4" s="1"/>
  <c r="BG89" i="4"/>
  <c r="BE89" i="4"/>
  <c r="BD89" i="4"/>
  <c r="BC89" i="4"/>
  <c r="BB89" i="4"/>
  <c r="AX89" i="4"/>
  <c r="AJ89" i="4"/>
  <c r="AN89" i="4" s="1"/>
  <c r="AR89" i="4" s="1"/>
  <c r="AE89" i="4"/>
  <c r="AD89" i="4"/>
  <c r="AC89" i="4"/>
  <c r="AB89" i="4"/>
  <c r="AW89" i="4" s="1"/>
  <c r="G89" i="4"/>
  <c r="BJ89" i="4" s="1"/>
  <c r="F89" i="4"/>
  <c r="J89" i="4" s="1"/>
  <c r="T89" i="4" s="1"/>
  <c r="E89" i="4"/>
  <c r="D89" i="4"/>
  <c r="CI88" i="4"/>
  <c r="CH88" i="4"/>
  <c r="CF88" i="4"/>
  <c r="CG88" i="4" s="1"/>
  <c r="CA88" i="4"/>
  <c r="BZ88" i="4"/>
  <c r="BW88" i="4"/>
  <c r="BX88" i="4" s="1"/>
  <c r="BU88" i="4"/>
  <c r="BV88" i="4" s="1"/>
  <c r="BO88" i="4"/>
  <c r="BP88" i="4" s="1"/>
  <c r="BM88" i="4"/>
  <c r="BN88" i="4" s="1"/>
  <c r="BI88" i="4"/>
  <c r="BG88" i="4"/>
  <c r="BE88" i="4"/>
  <c r="BD88" i="4"/>
  <c r="BC88" i="4"/>
  <c r="BB88" i="4"/>
  <c r="AX88" i="4"/>
  <c r="AW88" i="4"/>
  <c r="AE88" i="4"/>
  <c r="AD88" i="4"/>
  <c r="AC88" i="4"/>
  <c r="AB88" i="4"/>
  <c r="K88" i="4"/>
  <c r="U88" i="4" s="1"/>
  <c r="J88" i="4"/>
  <c r="T88" i="4" s="1"/>
  <c r="X88" i="4" s="1"/>
  <c r="G88" i="4"/>
  <c r="BJ88" i="4" s="1"/>
  <c r="F88" i="4"/>
  <c r="E88" i="4"/>
  <c r="D88" i="4"/>
  <c r="CH87" i="4"/>
  <c r="CI87" i="4" s="1"/>
  <c r="CG87" i="4"/>
  <c r="CF87" i="4"/>
  <c r="CA87" i="4"/>
  <c r="BZ87" i="4"/>
  <c r="BX87" i="4"/>
  <c r="BW87" i="4"/>
  <c r="BU87" i="4"/>
  <c r="BV87" i="4" s="1"/>
  <c r="BO87" i="4"/>
  <c r="BP87" i="4" s="1"/>
  <c r="BM87" i="4"/>
  <c r="BN87" i="4" s="1"/>
  <c r="BI87" i="4"/>
  <c r="BG87" i="4"/>
  <c r="BE87" i="4"/>
  <c r="BD87" i="4"/>
  <c r="BC87" i="4"/>
  <c r="BB87" i="4"/>
  <c r="AX87" i="4"/>
  <c r="AE87" i="4"/>
  <c r="AD87" i="4"/>
  <c r="AC87" i="4"/>
  <c r="AB87" i="4"/>
  <c r="AW87" i="4" s="1"/>
  <c r="T87" i="4"/>
  <c r="K87" i="4"/>
  <c r="U87" i="4" s="1"/>
  <c r="G87" i="4"/>
  <c r="BJ87" i="4" s="1"/>
  <c r="F87" i="4"/>
  <c r="J87" i="4" s="1"/>
  <c r="E87" i="4"/>
  <c r="D87" i="4"/>
  <c r="CH86" i="4"/>
  <c r="CI86" i="4" s="1"/>
  <c r="CF86" i="4"/>
  <c r="CG86" i="4" s="1"/>
  <c r="CA86" i="4"/>
  <c r="BZ86" i="4"/>
  <c r="BW86" i="4"/>
  <c r="BX86" i="4" s="1"/>
  <c r="BV86" i="4"/>
  <c r="BU86" i="4"/>
  <c r="BO86" i="4"/>
  <c r="BP86" i="4" s="1"/>
  <c r="BM86" i="4"/>
  <c r="BN86" i="4" s="1"/>
  <c r="BI86" i="4"/>
  <c r="BG86" i="4"/>
  <c r="BE86" i="4"/>
  <c r="BD86" i="4"/>
  <c r="BC86" i="4"/>
  <c r="BB86" i="4"/>
  <c r="AX86" i="4"/>
  <c r="AW86" i="4"/>
  <c r="AE86" i="4"/>
  <c r="AD86" i="4"/>
  <c r="AC86" i="4"/>
  <c r="AB86" i="4"/>
  <c r="X86" i="4"/>
  <c r="J86" i="4"/>
  <c r="T86" i="4" s="1"/>
  <c r="G86" i="4"/>
  <c r="F86" i="4"/>
  <c r="E86" i="4"/>
  <c r="D86" i="4"/>
  <c r="CH85" i="4"/>
  <c r="CI85" i="4" s="1"/>
  <c r="CG85" i="4"/>
  <c r="CF85" i="4"/>
  <c r="CA85" i="4"/>
  <c r="BZ85" i="4"/>
  <c r="BX85" i="4"/>
  <c r="BW85" i="4"/>
  <c r="BU85" i="4"/>
  <c r="BV85" i="4" s="1"/>
  <c r="BP85" i="4"/>
  <c r="BO85" i="4"/>
  <c r="BM85" i="4"/>
  <c r="BN85" i="4" s="1"/>
  <c r="BG85" i="4"/>
  <c r="BE85" i="4"/>
  <c r="BD85" i="4"/>
  <c r="BC85" i="4"/>
  <c r="BB85" i="4"/>
  <c r="AX85" i="4"/>
  <c r="AE85" i="4"/>
  <c r="AD85" i="4"/>
  <c r="AC85" i="4"/>
  <c r="AB85" i="4"/>
  <c r="AW85" i="4" s="1"/>
  <c r="G85" i="4"/>
  <c r="F85" i="4"/>
  <c r="E85" i="4"/>
  <c r="D85" i="4"/>
  <c r="CI84" i="4"/>
  <c r="CH84" i="4"/>
  <c r="CF84" i="4"/>
  <c r="CG84" i="4" s="1"/>
  <c r="CA84" i="4"/>
  <c r="BZ84" i="4"/>
  <c r="BW84" i="4"/>
  <c r="BX84" i="4" s="1"/>
  <c r="BV84" i="4"/>
  <c r="BU84" i="4"/>
  <c r="BO84" i="4"/>
  <c r="BP84" i="4" s="1"/>
  <c r="BN84" i="4"/>
  <c r="BM84" i="4"/>
  <c r="BI84" i="4"/>
  <c r="BG84" i="4"/>
  <c r="BE84" i="4"/>
  <c r="BD84" i="4"/>
  <c r="BC84" i="4"/>
  <c r="BB84" i="4"/>
  <c r="AX84" i="4"/>
  <c r="AW84" i="4"/>
  <c r="AE84" i="4"/>
  <c r="AD84" i="4"/>
  <c r="AC84" i="4"/>
  <c r="AB84" i="4"/>
  <c r="X84" i="4"/>
  <c r="K84" i="4"/>
  <c r="U84" i="4" s="1"/>
  <c r="J84" i="4"/>
  <c r="T84" i="4" s="1"/>
  <c r="G84" i="4"/>
  <c r="BJ84" i="4" s="1"/>
  <c r="F84" i="4"/>
  <c r="E84" i="4"/>
  <c r="D84" i="4"/>
  <c r="CH83" i="4"/>
  <c r="CI83" i="4" s="1"/>
  <c r="CG83" i="4"/>
  <c r="CF83" i="4"/>
  <c r="CA83" i="4"/>
  <c r="BZ83" i="4"/>
  <c r="BX83" i="4"/>
  <c r="BW83" i="4"/>
  <c r="BU83" i="4"/>
  <c r="BV83" i="4" s="1"/>
  <c r="BP83" i="4"/>
  <c r="BO83" i="4"/>
  <c r="BM83" i="4"/>
  <c r="BN83" i="4" s="1"/>
  <c r="BG83" i="4"/>
  <c r="BE83" i="4"/>
  <c r="BD83" i="4"/>
  <c r="BC83" i="4"/>
  <c r="BB83" i="4"/>
  <c r="AX83" i="4"/>
  <c r="AE83" i="4"/>
  <c r="AD83" i="4"/>
  <c r="AC83" i="4"/>
  <c r="AB83" i="4"/>
  <c r="AW83" i="4" s="1"/>
  <c r="G83" i="4"/>
  <c r="F83" i="4"/>
  <c r="E83" i="4"/>
  <c r="D83" i="4"/>
  <c r="CI82" i="4"/>
  <c r="CH82" i="4"/>
  <c r="CF82" i="4"/>
  <c r="CG82" i="4" s="1"/>
  <c r="CA82" i="4"/>
  <c r="BZ82" i="4"/>
  <c r="BW82" i="4"/>
  <c r="BX82" i="4" s="1"/>
  <c r="BV82" i="4"/>
  <c r="BU82" i="4"/>
  <c r="BO82" i="4"/>
  <c r="BP82" i="4" s="1"/>
  <c r="BN82" i="4"/>
  <c r="BM82" i="4"/>
  <c r="BI82" i="4"/>
  <c r="BG82" i="4"/>
  <c r="BE82" i="4"/>
  <c r="BD82" i="4"/>
  <c r="BC82" i="4"/>
  <c r="BB82" i="4"/>
  <c r="AX82" i="4"/>
  <c r="AW82" i="4"/>
  <c r="AE82" i="4"/>
  <c r="AD82" i="4"/>
  <c r="AC82" i="4"/>
  <c r="AB82" i="4"/>
  <c r="X82" i="4"/>
  <c r="K82" i="4"/>
  <c r="U82" i="4" s="1"/>
  <c r="J82" i="4"/>
  <c r="T82" i="4" s="1"/>
  <c r="G82" i="4"/>
  <c r="BJ82" i="4" s="1"/>
  <c r="F82" i="4"/>
  <c r="E82" i="4"/>
  <c r="D82" i="4"/>
  <c r="CH81" i="4"/>
  <c r="CI81" i="4" s="1"/>
  <c r="CG81" i="4"/>
  <c r="CF81" i="4"/>
  <c r="CA81" i="4"/>
  <c r="BZ81" i="4"/>
  <c r="BX81" i="4"/>
  <c r="BW81" i="4"/>
  <c r="BU81" i="4"/>
  <c r="BV81" i="4" s="1"/>
  <c r="BP81" i="4"/>
  <c r="BO81" i="4"/>
  <c r="BM81" i="4"/>
  <c r="BN81" i="4" s="1"/>
  <c r="BG81" i="4"/>
  <c r="BE81" i="4"/>
  <c r="BD81" i="4"/>
  <c r="BC81" i="4"/>
  <c r="BB81" i="4"/>
  <c r="AX81" i="4"/>
  <c r="AE81" i="4"/>
  <c r="AD81" i="4"/>
  <c r="AC81" i="4"/>
  <c r="AB81" i="4"/>
  <c r="AW81" i="4" s="1"/>
  <c r="G81" i="4"/>
  <c r="F81" i="4"/>
  <c r="E81" i="4"/>
  <c r="D81" i="4"/>
  <c r="CI80" i="4"/>
  <c r="CH80" i="4"/>
  <c r="CF80" i="4"/>
  <c r="CG80" i="4" s="1"/>
  <c r="CA80" i="4"/>
  <c r="BZ80" i="4"/>
  <c r="BW80" i="4"/>
  <c r="BX80" i="4" s="1"/>
  <c r="BU80" i="4"/>
  <c r="BV80" i="4" s="1"/>
  <c r="BO80" i="4"/>
  <c r="BP80" i="4" s="1"/>
  <c r="BM80" i="4"/>
  <c r="BN80" i="4" s="1"/>
  <c r="BI80" i="4"/>
  <c r="BG80" i="4"/>
  <c r="BE80" i="4"/>
  <c r="BD80" i="4"/>
  <c r="BC80" i="4"/>
  <c r="BB80" i="4"/>
  <c r="AX80" i="4"/>
  <c r="AE80" i="4"/>
  <c r="AD80" i="4"/>
  <c r="AC80" i="4"/>
  <c r="AB80" i="4"/>
  <c r="AW80" i="4" s="1"/>
  <c r="K80" i="4"/>
  <c r="U80" i="4" s="1"/>
  <c r="G80" i="4"/>
  <c r="BJ80" i="4" s="1"/>
  <c r="F80" i="4"/>
  <c r="J80" i="4" s="1"/>
  <c r="T80" i="4" s="1"/>
  <c r="E80" i="4"/>
  <c r="D80" i="4"/>
  <c r="CH79" i="4"/>
  <c r="CI79" i="4" s="1"/>
  <c r="CF79" i="4"/>
  <c r="CG79" i="4" s="1"/>
  <c r="CA79" i="4"/>
  <c r="BZ79" i="4"/>
  <c r="BW79" i="4"/>
  <c r="BX79" i="4" s="1"/>
  <c r="BU79" i="4"/>
  <c r="BV79" i="4" s="1"/>
  <c r="BO79" i="4"/>
  <c r="BP79" i="4" s="1"/>
  <c r="BN79" i="4"/>
  <c r="BM79" i="4"/>
  <c r="BI79" i="4"/>
  <c r="BG79" i="4"/>
  <c r="BE79" i="4"/>
  <c r="BD79" i="4"/>
  <c r="BC79" i="4"/>
  <c r="BB79" i="4"/>
  <c r="AX79" i="4"/>
  <c r="AW79" i="4"/>
  <c r="AE79" i="4"/>
  <c r="AD79" i="4"/>
  <c r="AC79" i="4"/>
  <c r="AB79" i="4"/>
  <c r="X79" i="4"/>
  <c r="J79" i="4"/>
  <c r="T79" i="4" s="1"/>
  <c r="G79" i="4"/>
  <c r="F79" i="4"/>
  <c r="E79" i="4"/>
  <c r="D79" i="4"/>
  <c r="CH78" i="4"/>
  <c r="CI78" i="4" s="1"/>
  <c r="CF78" i="4"/>
  <c r="CG78" i="4" s="1"/>
  <c r="CA78" i="4"/>
  <c r="BZ78" i="4"/>
  <c r="BW78" i="4"/>
  <c r="BX78" i="4" s="1"/>
  <c r="BU78" i="4"/>
  <c r="BV78" i="4" s="1"/>
  <c r="BP78" i="4"/>
  <c r="BO78" i="4"/>
  <c r="BM78" i="4"/>
  <c r="BN78" i="4" s="1"/>
  <c r="BJ78" i="4"/>
  <c r="BI78" i="4"/>
  <c r="BG78" i="4"/>
  <c r="BE78" i="4"/>
  <c r="BD78" i="4"/>
  <c r="BC78" i="4"/>
  <c r="BB78" i="4"/>
  <c r="AX78" i="4"/>
  <c r="AE78" i="4"/>
  <c r="AD78" i="4"/>
  <c r="AC78" i="4"/>
  <c r="AB78" i="4"/>
  <c r="AW78" i="4" s="1"/>
  <c r="Z78" i="4"/>
  <c r="T78" i="4"/>
  <c r="K78" i="4"/>
  <c r="U78" i="4" s="1"/>
  <c r="G78" i="4"/>
  <c r="F78" i="4"/>
  <c r="J78" i="4" s="1"/>
  <c r="E78" i="4"/>
  <c r="D78" i="4"/>
  <c r="CI77" i="4"/>
  <c r="CH77" i="4"/>
  <c r="CF77" i="4"/>
  <c r="CG77" i="4" s="1"/>
  <c r="CA77" i="4"/>
  <c r="BZ77" i="4"/>
  <c r="BW77" i="4"/>
  <c r="BX77" i="4" s="1"/>
  <c r="BV77" i="4"/>
  <c r="BU77" i="4"/>
  <c r="BO77" i="4"/>
  <c r="BP77" i="4" s="1"/>
  <c r="BM77" i="4"/>
  <c r="BN77" i="4" s="1"/>
  <c r="BI77" i="4"/>
  <c r="BG77" i="4"/>
  <c r="BE77" i="4"/>
  <c r="BD77" i="4"/>
  <c r="BC77" i="4"/>
  <c r="BB77" i="4"/>
  <c r="AX77" i="4"/>
  <c r="AW77" i="4"/>
  <c r="AE77" i="4"/>
  <c r="AD77" i="4"/>
  <c r="AC77" i="4"/>
  <c r="AB77" i="4"/>
  <c r="J77" i="4"/>
  <c r="T77" i="4" s="1"/>
  <c r="G77" i="4"/>
  <c r="F77" i="4"/>
  <c r="E77" i="4"/>
  <c r="D77" i="4"/>
  <c r="CH76" i="4"/>
  <c r="CI76" i="4" s="1"/>
  <c r="CG76" i="4"/>
  <c r="CF76" i="4"/>
  <c r="CA76" i="4"/>
  <c r="BZ76" i="4"/>
  <c r="BX76" i="4"/>
  <c r="BW76" i="4"/>
  <c r="BU76" i="4"/>
  <c r="BV76" i="4" s="1"/>
  <c r="BO76" i="4"/>
  <c r="BP76" i="4" s="1"/>
  <c r="BM76" i="4"/>
  <c r="BN76" i="4" s="1"/>
  <c r="BJ76" i="4"/>
  <c r="BG76" i="4"/>
  <c r="BE76" i="4"/>
  <c r="BD76" i="4"/>
  <c r="BC76" i="4"/>
  <c r="BB76" i="4"/>
  <c r="AX76" i="4"/>
  <c r="AE76" i="4"/>
  <c r="AD76" i="4"/>
  <c r="AC76" i="4"/>
  <c r="AB76" i="4"/>
  <c r="AW76" i="4" s="1"/>
  <c r="U76" i="4"/>
  <c r="K76" i="4"/>
  <c r="G76" i="4"/>
  <c r="F76" i="4"/>
  <c r="E76" i="4"/>
  <c r="D76" i="4"/>
  <c r="CI75" i="4"/>
  <c r="CH75" i="4"/>
  <c r="CF75" i="4"/>
  <c r="CG75" i="4" s="1"/>
  <c r="CA75" i="4"/>
  <c r="BZ75" i="4"/>
  <c r="BW75" i="4"/>
  <c r="BX75" i="4" s="1"/>
  <c r="BV75" i="4"/>
  <c r="BU75" i="4"/>
  <c r="BO75" i="4"/>
  <c r="BP75" i="4" s="1"/>
  <c r="BM75" i="4"/>
  <c r="BN75" i="4" s="1"/>
  <c r="BI75" i="4"/>
  <c r="BG75" i="4"/>
  <c r="BE75" i="4"/>
  <c r="BD75" i="4"/>
  <c r="BC75" i="4"/>
  <c r="BB75" i="4"/>
  <c r="AX75" i="4"/>
  <c r="AW75" i="4"/>
  <c r="AE75" i="4"/>
  <c r="AD75" i="4"/>
  <c r="AC75" i="4"/>
  <c r="AB75" i="4"/>
  <c r="Z75" i="4"/>
  <c r="U75" i="4"/>
  <c r="AZ75" i="4" s="1"/>
  <c r="K75" i="4"/>
  <c r="J75" i="4"/>
  <c r="T75" i="4" s="1"/>
  <c r="G75" i="4"/>
  <c r="BJ75" i="4" s="1"/>
  <c r="F75" i="4"/>
  <c r="E75" i="4"/>
  <c r="D75" i="4"/>
  <c r="CH74" i="4"/>
  <c r="CI74" i="4" s="1"/>
  <c r="CF74" i="4"/>
  <c r="CG74" i="4" s="1"/>
  <c r="CA74" i="4"/>
  <c r="BZ74" i="4"/>
  <c r="BW74" i="4"/>
  <c r="BX74" i="4" s="1"/>
  <c r="BU74" i="4"/>
  <c r="BV74" i="4" s="1"/>
  <c r="BP74" i="4"/>
  <c r="BO74" i="4"/>
  <c r="BM74" i="4"/>
  <c r="BN74" i="4" s="1"/>
  <c r="BI74" i="4"/>
  <c r="BG74" i="4"/>
  <c r="BE74" i="4"/>
  <c r="BD74" i="4"/>
  <c r="BC74" i="4"/>
  <c r="BB74" i="4"/>
  <c r="AX74" i="4"/>
  <c r="AE74" i="4"/>
  <c r="AD74" i="4"/>
  <c r="AC74" i="4"/>
  <c r="AB74" i="4"/>
  <c r="AW74" i="4" s="1"/>
  <c r="T74" i="4"/>
  <c r="X74" i="4" s="1"/>
  <c r="G74" i="4"/>
  <c r="F74" i="4"/>
  <c r="J74" i="4" s="1"/>
  <c r="E74" i="4"/>
  <c r="D74" i="4"/>
  <c r="CH73" i="4"/>
  <c r="CI73" i="4" s="1"/>
  <c r="CF73" i="4"/>
  <c r="CG73" i="4" s="1"/>
  <c r="CA73" i="4"/>
  <c r="BZ73" i="4"/>
  <c r="BW73" i="4"/>
  <c r="BX73" i="4" s="1"/>
  <c r="BU73" i="4"/>
  <c r="BV73" i="4" s="1"/>
  <c r="BO73" i="4"/>
  <c r="BP73" i="4" s="1"/>
  <c r="BN73" i="4"/>
  <c r="BM73" i="4"/>
  <c r="BJ73" i="4"/>
  <c r="BG73" i="4"/>
  <c r="BE73" i="4"/>
  <c r="BD73" i="4"/>
  <c r="BC73" i="4"/>
  <c r="BB73" i="4"/>
  <c r="AX73" i="4"/>
  <c r="AE73" i="4"/>
  <c r="AD73" i="4"/>
  <c r="AC73" i="4"/>
  <c r="AB73" i="4"/>
  <c r="AW73" i="4" s="1"/>
  <c r="J73" i="4"/>
  <c r="T73" i="4" s="1"/>
  <c r="G73" i="4"/>
  <c r="K73" i="4" s="1"/>
  <c r="U73" i="4" s="1"/>
  <c r="F73" i="4"/>
  <c r="BI73" i="4" s="1"/>
  <c r="E73" i="4"/>
  <c r="D73" i="4"/>
  <c r="CI72" i="4"/>
  <c r="CH72" i="4"/>
  <c r="CG72" i="4"/>
  <c r="CF72" i="4"/>
  <c r="CA72" i="4"/>
  <c r="BZ72" i="4"/>
  <c r="BX72" i="4"/>
  <c r="BW72" i="4"/>
  <c r="BV72" i="4"/>
  <c r="BU72" i="4"/>
  <c r="BP72" i="4"/>
  <c r="BO72" i="4"/>
  <c r="BN72" i="4"/>
  <c r="BM72" i="4"/>
  <c r="BJ72" i="4"/>
  <c r="BG72" i="4"/>
  <c r="BE72" i="4"/>
  <c r="BD72" i="4"/>
  <c r="BC72" i="4"/>
  <c r="BB72" i="4"/>
  <c r="AX72" i="4"/>
  <c r="AW72" i="4"/>
  <c r="AE72" i="4"/>
  <c r="AD72" i="4"/>
  <c r="AC72" i="4"/>
  <c r="AB72" i="4"/>
  <c r="K72" i="4"/>
  <c r="U72" i="4" s="1"/>
  <c r="G72" i="4"/>
  <c r="F72" i="4"/>
  <c r="BI72" i="4" s="1"/>
  <c r="E72" i="4"/>
  <c r="D72" i="4"/>
  <c r="CI71" i="4"/>
  <c r="CH71" i="4"/>
  <c r="CG71" i="4"/>
  <c r="CF71" i="4"/>
  <c r="CA71" i="4"/>
  <c r="BZ71" i="4"/>
  <c r="BX71" i="4"/>
  <c r="BW71" i="4"/>
  <c r="BV71" i="4"/>
  <c r="BU71" i="4"/>
  <c r="BP71" i="4"/>
  <c r="BO71" i="4"/>
  <c r="BN71" i="4"/>
  <c r="BM71" i="4"/>
  <c r="BJ71" i="4"/>
  <c r="BG71" i="4"/>
  <c r="BE71" i="4"/>
  <c r="BD71" i="4"/>
  <c r="BC71" i="4"/>
  <c r="BB71" i="4"/>
  <c r="AX71" i="4"/>
  <c r="AW71" i="4"/>
  <c r="AE71" i="4"/>
  <c r="AD71" i="4"/>
  <c r="AC71" i="4"/>
  <c r="AB71" i="4"/>
  <c r="G71" i="4"/>
  <c r="K71" i="4" s="1"/>
  <c r="U71" i="4" s="1"/>
  <c r="F71" i="4"/>
  <c r="E71" i="4"/>
  <c r="D71" i="4"/>
  <c r="CI70" i="4"/>
  <c r="CH70" i="4"/>
  <c r="CG70" i="4"/>
  <c r="CF70" i="4"/>
  <c r="CA70" i="4"/>
  <c r="BZ70" i="4"/>
  <c r="BX70" i="4"/>
  <c r="BW70" i="4"/>
  <c r="BV70" i="4"/>
  <c r="BU70" i="4"/>
  <c r="BP70" i="4"/>
  <c r="BO70" i="4"/>
  <c r="BN70" i="4"/>
  <c r="BM70" i="4"/>
  <c r="BJ70" i="4"/>
  <c r="BG70" i="4"/>
  <c r="BE70" i="4"/>
  <c r="BD70" i="4"/>
  <c r="BC70" i="4"/>
  <c r="BB70" i="4"/>
  <c r="AX70" i="4"/>
  <c r="AE70" i="4"/>
  <c r="AD70" i="4"/>
  <c r="AC70" i="4"/>
  <c r="AB70" i="4"/>
  <c r="AW70" i="4" s="1"/>
  <c r="K70" i="4"/>
  <c r="U70" i="4" s="1"/>
  <c r="J70" i="4"/>
  <c r="T70" i="4" s="1"/>
  <c r="G70" i="4"/>
  <c r="F70" i="4"/>
  <c r="BI70" i="4" s="1"/>
  <c r="E70" i="4"/>
  <c r="D70" i="4"/>
  <c r="CI69" i="4"/>
  <c r="CH69" i="4"/>
  <c r="CG69" i="4"/>
  <c r="CF69" i="4"/>
  <c r="CA69" i="4"/>
  <c r="BZ69" i="4"/>
  <c r="BX69" i="4"/>
  <c r="BW69" i="4"/>
  <c r="BV69" i="4"/>
  <c r="BU69" i="4"/>
  <c r="BP69" i="4"/>
  <c r="BO69" i="4"/>
  <c r="BN69" i="4"/>
  <c r="BM69" i="4"/>
  <c r="BJ69" i="4"/>
  <c r="BG69" i="4"/>
  <c r="BE69" i="4"/>
  <c r="BD69" i="4"/>
  <c r="BC69" i="4"/>
  <c r="BB69" i="4"/>
  <c r="AX69" i="4"/>
  <c r="AW69" i="4"/>
  <c r="AE69" i="4"/>
  <c r="AD69" i="4"/>
  <c r="AC69" i="4"/>
  <c r="AB69" i="4"/>
  <c r="G69" i="4"/>
  <c r="K69" i="4" s="1"/>
  <c r="U69" i="4" s="1"/>
  <c r="F69" i="4"/>
  <c r="BI69" i="4" s="1"/>
  <c r="E69" i="4"/>
  <c r="D69" i="4"/>
  <c r="CI68" i="4"/>
  <c r="CH68" i="4"/>
  <c r="CG68" i="4"/>
  <c r="CF68" i="4"/>
  <c r="CA68" i="4"/>
  <c r="BZ68" i="4"/>
  <c r="BX68" i="4"/>
  <c r="BW68" i="4"/>
  <c r="BV68" i="4"/>
  <c r="BU68" i="4"/>
  <c r="BP68" i="4"/>
  <c r="BO68" i="4"/>
  <c r="BN68" i="4"/>
  <c r="BM68" i="4"/>
  <c r="BJ68" i="4"/>
  <c r="BG68" i="4"/>
  <c r="BE68" i="4"/>
  <c r="BD68" i="4"/>
  <c r="BC68" i="4"/>
  <c r="BB68" i="4"/>
  <c r="AX68" i="4"/>
  <c r="AW68" i="4"/>
  <c r="AE68" i="4"/>
  <c r="AD68" i="4"/>
  <c r="AC68" i="4"/>
  <c r="AB68" i="4"/>
  <c r="K68" i="4"/>
  <c r="U68" i="4" s="1"/>
  <c r="J68" i="4"/>
  <c r="T68" i="4" s="1"/>
  <c r="G68" i="4"/>
  <c r="F68" i="4"/>
  <c r="BI68" i="4" s="1"/>
  <c r="E68" i="4"/>
  <c r="D68" i="4"/>
  <c r="CI67" i="4"/>
  <c r="CH67" i="4"/>
  <c r="CG67" i="4"/>
  <c r="CF67" i="4"/>
  <c r="CA67" i="4"/>
  <c r="BZ67" i="4"/>
  <c r="BX67" i="4"/>
  <c r="BW67" i="4"/>
  <c r="BV67" i="4"/>
  <c r="BU67" i="4"/>
  <c r="BP67" i="4"/>
  <c r="BO67" i="4"/>
  <c r="BN67" i="4"/>
  <c r="BM67" i="4"/>
  <c r="BJ67" i="4"/>
  <c r="BG67" i="4"/>
  <c r="BE67" i="4"/>
  <c r="BD67" i="4"/>
  <c r="BC67" i="4"/>
  <c r="BB67" i="4"/>
  <c r="AX67" i="4"/>
  <c r="AW67" i="4"/>
  <c r="AE67" i="4"/>
  <c r="AD67" i="4"/>
  <c r="AC67" i="4"/>
  <c r="AB67" i="4"/>
  <c r="J67" i="4"/>
  <c r="T67" i="4" s="1"/>
  <c r="G67" i="4"/>
  <c r="K67" i="4" s="1"/>
  <c r="U67" i="4" s="1"/>
  <c r="F67" i="4"/>
  <c r="BI67" i="4" s="1"/>
  <c r="E67" i="4"/>
  <c r="D67" i="4"/>
  <c r="CI66" i="4"/>
  <c r="CH66" i="4"/>
  <c r="CG66" i="4"/>
  <c r="CF66" i="4"/>
  <c r="CA66" i="4"/>
  <c r="BZ66" i="4"/>
  <c r="BX66" i="4"/>
  <c r="BW66" i="4"/>
  <c r="BV66" i="4"/>
  <c r="BU66" i="4"/>
  <c r="BP66" i="4"/>
  <c r="BO66" i="4"/>
  <c r="BN66" i="4"/>
  <c r="BM66" i="4"/>
  <c r="BJ66" i="4"/>
  <c r="BG66" i="4"/>
  <c r="BE66" i="4"/>
  <c r="BD66" i="4"/>
  <c r="BC66" i="4"/>
  <c r="BB66" i="4"/>
  <c r="AX66" i="4"/>
  <c r="AW66" i="4"/>
  <c r="AE66" i="4"/>
  <c r="AD66" i="4"/>
  <c r="AC66" i="4"/>
  <c r="AB66" i="4"/>
  <c r="K66" i="4"/>
  <c r="U66" i="4" s="1"/>
  <c r="G66" i="4"/>
  <c r="F66" i="4"/>
  <c r="E66" i="4"/>
  <c r="D66" i="4"/>
  <c r="CI65" i="4"/>
  <c r="CH65" i="4"/>
  <c r="CG65" i="4"/>
  <c r="CF65" i="4"/>
  <c r="CA65" i="4"/>
  <c r="BZ65" i="4"/>
  <c r="BX65" i="4"/>
  <c r="BW65" i="4"/>
  <c r="BV65" i="4"/>
  <c r="BU65" i="4"/>
  <c r="BP65" i="4"/>
  <c r="BO65" i="4"/>
  <c r="BN65" i="4"/>
  <c r="BM65" i="4"/>
  <c r="BJ65" i="4"/>
  <c r="BG65" i="4"/>
  <c r="BE65" i="4"/>
  <c r="BD65" i="4"/>
  <c r="BC65" i="4"/>
  <c r="BB65" i="4"/>
  <c r="AX65" i="4"/>
  <c r="AJ65" i="4"/>
  <c r="AN65" i="4" s="1"/>
  <c r="AR65" i="4" s="1"/>
  <c r="AE65" i="4"/>
  <c r="AD65" i="4"/>
  <c r="AC65" i="4"/>
  <c r="AB65" i="4"/>
  <c r="AW65" i="4" s="1"/>
  <c r="J65" i="4"/>
  <c r="T65" i="4" s="1"/>
  <c r="G65" i="4"/>
  <c r="K65" i="4" s="1"/>
  <c r="U65" i="4" s="1"/>
  <c r="F65" i="4"/>
  <c r="BI65" i="4" s="1"/>
  <c r="E65" i="4"/>
  <c r="D65" i="4"/>
  <c r="CI64" i="4"/>
  <c r="CH64" i="4"/>
  <c r="CG64" i="4"/>
  <c r="CF64" i="4"/>
  <c r="CA64" i="4"/>
  <c r="BZ64" i="4"/>
  <c r="BX64" i="4"/>
  <c r="BW64" i="4"/>
  <c r="BV64" i="4"/>
  <c r="BU64" i="4"/>
  <c r="BP64" i="4"/>
  <c r="BO64" i="4"/>
  <c r="BN64" i="4"/>
  <c r="BM64" i="4"/>
  <c r="BJ64" i="4"/>
  <c r="BG64" i="4"/>
  <c r="BE64" i="4"/>
  <c r="BD64" i="4"/>
  <c r="BC64" i="4"/>
  <c r="BB64" i="4"/>
  <c r="AX64" i="4"/>
  <c r="AW64" i="4"/>
  <c r="AE64" i="4"/>
  <c r="AD64" i="4"/>
  <c r="AC64" i="4"/>
  <c r="AB64" i="4"/>
  <c r="K64" i="4"/>
  <c r="U64" i="4" s="1"/>
  <c r="G64" i="4"/>
  <c r="F64" i="4"/>
  <c r="BI64" i="4" s="1"/>
  <c r="E64" i="4"/>
  <c r="D64" i="4"/>
  <c r="CI63" i="4"/>
  <c r="CH63" i="4"/>
  <c r="CG63" i="4"/>
  <c r="CF63" i="4"/>
  <c r="CA63" i="4"/>
  <c r="BZ63" i="4"/>
  <c r="BX63" i="4"/>
  <c r="BW63" i="4"/>
  <c r="BV63" i="4"/>
  <c r="BU63" i="4"/>
  <c r="BP63" i="4"/>
  <c r="BO63" i="4"/>
  <c r="BN63" i="4"/>
  <c r="BM63" i="4"/>
  <c r="BJ63" i="4"/>
  <c r="BG63" i="4"/>
  <c r="BE63" i="4"/>
  <c r="BD63" i="4"/>
  <c r="BC63" i="4"/>
  <c r="BB63" i="4"/>
  <c r="AX63" i="4"/>
  <c r="AW63" i="4"/>
  <c r="AE63" i="4"/>
  <c r="AD63" i="4"/>
  <c r="AC63" i="4"/>
  <c r="AB63" i="4"/>
  <c r="G63" i="4"/>
  <c r="K63" i="4" s="1"/>
  <c r="U63" i="4" s="1"/>
  <c r="F63" i="4"/>
  <c r="E63" i="4"/>
  <c r="D63" i="4"/>
  <c r="CI62" i="4"/>
  <c r="CH62" i="4"/>
  <c r="CG62" i="4"/>
  <c r="CF62" i="4"/>
  <c r="CA62" i="4"/>
  <c r="BZ62" i="4"/>
  <c r="BX62" i="4"/>
  <c r="BW62" i="4"/>
  <c r="BV62" i="4"/>
  <c r="BU62" i="4"/>
  <c r="BP62" i="4"/>
  <c r="BO62" i="4"/>
  <c r="BN62" i="4"/>
  <c r="BM62" i="4"/>
  <c r="BJ62" i="4"/>
  <c r="BG62" i="4"/>
  <c r="BE62" i="4"/>
  <c r="BD62" i="4"/>
  <c r="BC62" i="4"/>
  <c r="BB62" i="4"/>
  <c r="AX62" i="4"/>
  <c r="AJ62" i="4"/>
  <c r="AN62" i="4" s="1"/>
  <c r="AR62" i="4" s="1"/>
  <c r="AE62" i="4"/>
  <c r="AD62" i="4"/>
  <c r="AC62" i="4"/>
  <c r="AB62" i="4"/>
  <c r="AW62" i="4" s="1"/>
  <c r="K62" i="4"/>
  <c r="U62" i="4" s="1"/>
  <c r="J62" i="4"/>
  <c r="T62" i="4" s="1"/>
  <c r="G62" i="4"/>
  <c r="F62" i="4"/>
  <c r="BI62" i="4" s="1"/>
  <c r="E62" i="4"/>
  <c r="D62" i="4"/>
  <c r="CI61" i="4"/>
  <c r="CH61" i="4"/>
  <c r="CG61" i="4"/>
  <c r="CF61" i="4"/>
  <c r="CA61" i="4"/>
  <c r="BZ61" i="4"/>
  <c r="BX61" i="4"/>
  <c r="BW61" i="4"/>
  <c r="BV61" i="4"/>
  <c r="BU61" i="4"/>
  <c r="BP61" i="4"/>
  <c r="BO61" i="4"/>
  <c r="BN61" i="4"/>
  <c r="BM61" i="4"/>
  <c r="BJ61" i="4"/>
  <c r="BG61" i="4"/>
  <c r="BE61" i="4"/>
  <c r="BD61" i="4"/>
  <c r="BC61" i="4"/>
  <c r="BB61" i="4"/>
  <c r="AX61" i="4"/>
  <c r="AW61" i="4"/>
  <c r="AE61" i="4"/>
  <c r="AD61" i="4"/>
  <c r="AC61" i="4"/>
  <c r="AB61" i="4"/>
  <c r="G61" i="4"/>
  <c r="K61" i="4" s="1"/>
  <c r="U61" i="4" s="1"/>
  <c r="F61" i="4"/>
  <c r="BI61" i="4" s="1"/>
  <c r="E61" i="4"/>
  <c r="D61" i="4"/>
  <c r="CI60" i="4"/>
  <c r="CH60" i="4"/>
  <c r="CG60" i="4"/>
  <c r="CF60" i="4"/>
  <c r="CA60" i="4"/>
  <c r="BZ60" i="4"/>
  <c r="BX60" i="4"/>
  <c r="BW60" i="4"/>
  <c r="BV60" i="4"/>
  <c r="BU60" i="4"/>
  <c r="BP60" i="4"/>
  <c r="BO60" i="4"/>
  <c r="BN60" i="4"/>
  <c r="BM60" i="4"/>
  <c r="BJ60" i="4"/>
  <c r="BG60" i="4"/>
  <c r="BE60" i="4"/>
  <c r="BD60" i="4"/>
  <c r="BC60" i="4"/>
  <c r="BB60" i="4"/>
  <c r="AX60" i="4"/>
  <c r="AW60" i="4"/>
  <c r="AE60" i="4"/>
  <c r="AD60" i="4"/>
  <c r="AC60" i="4"/>
  <c r="AB60" i="4"/>
  <c r="X60" i="4"/>
  <c r="K60" i="4"/>
  <c r="U60" i="4" s="1"/>
  <c r="J60" i="4"/>
  <c r="T60" i="4" s="1"/>
  <c r="G60" i="4"/>
  <c r="F60" i="4"/>
  <c r="BI60" i="4" s="1"/>
  <c r="E60" i="4"/>
  <c r="D60" i="4"/>
  <c r="CI59" i="4"/>
  <c r="CH59" i="4"/>
  <c r="CG59" i="4"/>
  <c r="CF59" i="4"/>
  <c r="CA59" i="4"/>
  <c r="BZ59" i="4"/>
  <c r="BX59" i="4"/>
  <c r="BW59" i="4"/>
  <c r="BV59" i="4"/>
  <c r="BU59" i="4"/>
  <c r="BP59" i="4"/>
  <c r="BO59" i="4"/>
  <c r="BN59" i="4"/>
  <c r="BM59" i="4"/>
  <c r="BJ59" i="4"/>
  <c r="BG59" i="4"/>
  <c r="BE59" i="4"/>
  <c r="BD59" i="4"/>
  <c r="BC59" i="4"/>
  <c r="BB59" i="4"/>
  <c r="AX59" i="4"/>
  <c r="AW59" i="4"/>
  <c r="AE59" i="4"/>
  <c r="AD59" i="4"/>
  <c r="AC59" i="4"/>
  <c r="AB59" i="4"/>
  <c r="J59" i="4"/>
  <c r="T59" i="4" s="1"/>
  <c r="G59" i="4"/>
  <c r="K59" i="4" s="1"/>
  <c r="U59" i="4" s="1"/>
  <c r="F59" i="4"/>
  <c r="BI59" i="4" s="1"/>
  <c r="E59" i="4"/>
  <c r="D59" i="4"/>
  <c r="CI58" i="4"/>
  <c r="CH58" i="4"/>
  <c r="CG58" i="4"/>
  <c r="CF58" i="4"/>
  <c r="CA58" i="4"/>
  <c r="BZ58" i="4"/>
  <c r="BX58" i="4"/>
  <c r="BW58" i="4"/>
  <c r="BV58" i="4"/>
  <c r="BU58" i="4"/>
  <c r="BP58" i="4"/>
  <c r="BO58" i="4"/>
  <c r="BN58" i="4"/>
  <c r="BM58" i="4"/>
  <c r="BJ58" i="4"/>
  <c r="BG58" i="4"/>
  <c r="BE58" i="4"/>
  <c r="BD58" i="4"/>
  <c r="BC58" i="4"/>
  <c r="BB58" i="4"/>
  <c r="AX58" i="4"/>
  <c r="AW58" i="4"/>
  <c r="AE58" i="4"/>
  <c r="AD58" i="4"/>
  <c r="AC58" i="4"/>
  <c r="AB58" i="4"/>
  <c r="K58" i="4"/>
  <c r="U58" i="4" s="1"/>
  <c r="G58" i="4"/>
  <c r="F58" i="4"/>
  <c r="E58" i="4"/>
  <c r="D58" i="4"/>
  <c r="CI57" i="4"/>
  <c r="CH57" i="4"/>
  <c r="CG57" i="4"/>
  <c r="CF57" i="4"/>
  <c r="CA57" i="4"/>
  <c r="BZ57" i="4"/>
  <c r="BX57" i="4"/>
  <c r="BW57" i="4"/>
  <c r="BV57" i="4"/>
  <c r="BU57" i="4"/>
  <c r="BP57" i="4"/>
  <c r="BO57" i="4"/>
  <c r="BN57" i="4"/>
  <c r="BM57" i="4"/>
  <c r="BJ57" i="4"/>
  <c r="BG57" i="4"/>
  <c r="BE57" i="4"/>
  <c r="BD57" i="4"/>
  <c r="BC57" i="4"/>
  <c r="BB57" i="4"/>
  <c r="AX57" i="4"/>
  <c r="AE57" i="4"/>
  <c r="AD57" i="4"/>
  <c r="AC57" i="4"/>
  <c r="AB57" i="4"/>
  <c r="AW57" i="4" s="1"/>
  <c r="J57" i="4"/>
  <c r="T57" i="4" s="1"/>
  <c r="G57" i="4"/>
  <c r="K57" i="4" s="1"/>
  <c r="U57" i="4" s="1"/>
  <c r="F57" i="4"/>
  <c r="BI57" i="4" s="1"/>
  <c r="E57" i="4"/>
  <c r="D57" i="4"/>
  <c r="CI56" i="4"/>
  <c r="CH56" i="4"/>
  <c r="CG56" i="4"/>
  <c r="CF56" i="4"/>
  <c r="CA56" i="4"/>
  <c r="BZ56" i="4"/>
  <c r="BX56" i="4"/>
  <c r="BW56" i="4"/>
  <c r="BV56" i="4"/>
  <c r="BU56" i="4"/>
  <c r="BP56" i="4"/>
  <c r="BO56" i="4"/>
  <c r="BN56" i="4"/>
  <c r="BM56" i="4"/>
  <c r="BJ56" i="4"/>
  <c r="BG56" i="4"/>
  <c r="BE56" i="4"/>
  <c r="BD56" i="4"/>
  <c r="BC56" i="4"/>
  <c r="BB56" i="4"/>
  <c r="AX56" i="4"/>
  <c r="AW56" i="4"/>
  <c r="AE56" i="4"/>
  <c r="AD56" i="4"/>
  <c r="AC56" i="4"/>
  <c r="AB56" i="4"/>
  <c r="K56" i="4"/>
  <c r="U56" i="4" s="1"/>
  <c r="G56" i="4"/>
  <c r="F56" i="4"/>
  <c r="BI56" i="4" s="1"/>
  <c r="E56" i="4"/>
  <c r="D56" i="4"/>
  <c r="CI55" i="4"/>
  <c r="CH55" i="4"/>
  <c r="CG55" i="4"/>
  <c r="CF55" i="4"/>
  <c r="CA55" i="4"/>
  <c r="BZ55" i="4"/>
  <c r="BX55" i="4"/>
  <c r="BW55" i="4"/>
  <c r="BV55" i="4"/>
  <c r="BU55" i="4"/>
  <c r="BP55" i="4"/>
  <c r="BO55" i="4"/>
  <c r="BN55" i="4"/>
  <c r="BM55" i="4"/>
  <c r="BJ55" i="4"/>
  <c r="BG55" i="4"/>
  <c r="BE55" i="4"/>
  <c r="BD55" i="4"/>
  <c r="BC55" i="4"/>
  <c r="BB55" i="4"/>
  <c r="AX55" i="4"/>
  <c r="AW55" i="4"/>
  <c r="AE55" i="4"/>
  <c r="AD55" i="4"/>
  <c r="AC55" i="4"/>
  <c r="AB55" i="4"/>
  <c r="G55" i="4"/>
  <c r="K55" i="4" s="1"/>
  <c r="U55" i="4" s="1"/>
  <c r="F55" i="4"/>
  <c r="E55" i="4"/>
  <c r="D55" i="4"/>
  <c r="CI54" i="4"/>
  <c r="CH54" i="4"/>
  <c r="CG54" i="4"/>
  <c r="CF54" i="4"/>
  <c r="CA54" i="4"/>
  <c r="BZ54" i="4"/>
  <c r="BX54" i="4"/>
  <c r="BW54" i="4"/>
  <c r="BV54" i="4"/>
  <c r="BU54" i="4"/>
  <c r="BP54" i="4"/>
  <c r="BO54" i="4"/>
  <c r="BN54" i="4"/>
  <c r="BM54" i="4"/>
  <c r="BJ54" i="4"/>
  <c r="BG54" i="4"/>
  <c r="BE54" i="4"/>
  <c r="BD54" i="4"/>
  <c r="BC54" i="4"/>
  <c r="BB54" i="4"/>
  <c r="AX54" i="4"/>
  <c r="AE54" i="4"/>
  <c r="AD54" i="4"/>
  <c r="AC54" i="4"/>
  <c r="AB54" i="4"/>
  <c r="AW54" i="4" s="1"/>
  <c r="K54" i="4"/>
  <c r="U54" i="4" s="1"/>
  <c r="J54" i="4"/>
  <c r="T54" i="4" s="1"/>
  <c r="G54" i="4"/>
  <c r="F54" i="4"/>
  <c r="BI54" i="4" s="1"/>
  <c r="E54" i="4"/>
  <c r="D54" i="4"/>
  <c r="CI53" i="4"/>
  <c r="CH53" i="4"/>
  <c r="CG53" i="4"/>
  <c r="CF53" i="4"/>
  <c r="CA53" i="4"/>
  <c r="BZ53" i="4"/>
  <c r="BX53" i="4"/>
  <c r="BW53" i="4"/>
  <c r="BV53" i="4"/>
  <c r="BU53" i="4"/>
  <c r="BP53" i="4"/>
  <c r="BO53" i="4"/>
  <c r="BN53" i="4"/>
  <c r="BM53" i="4"/>
  <c r="BJ53" i="4"/>
  <c r="BG53" i="4"/>
  <c r="BE53" i="4"/>
  <c r="BD53" i="4"/>
  <c r="BC53" i="4"/>
  <c r="BB53" i="4"/>
  <c r="AX53" i="4"/>
  <c r="AW53" i="4"/>
  <c r="AE53" i="4"/>
  <c r="AD53" i="4"/>
  <c r="AC53" i="4"/>
  <c r="AB53" i="4"/>
  <c r="G53" i="4"/>
  <c r="K53" i="4" s="1"/>
  <c r="U53" i="4" s="1"/>
  <c r="F53" i="4"/>
  <c r="BI53" i="4" s="1"/>
  <c r="E53" i="4"/>
  <c r="D53" i="4"/>
  <c r="CI52" i="4"/>
  <c r="CH52" i="4"/>
  <c r="CG52" i="4"/>
  <c r="CF52" i="4"/>
  <c r="CA52" i="4"/>
  <c r="BZ52" i="4"/>
  <c r="BX52" i="4"/>
  <c r="BW52" i="4"/>
  <c r="BV52" i="4"/>
  <c r="BU52" i="4"/>
  <c r="BP52" i="4"/>
  <c r="BO52" i="4"/>
  <c r="BN52" i="4"/>
  <c r="BM52" i="4"/>
  <c r="BJ52" i="4"/>
  <c r="BG52" i="4"/>
  <c r="BE52" i="4"/>
  <c r="BD52" i="4"/>
  <c r="BC52" i="4"/>
  <c r="BB52" i="4"/>
  <c r="AX52" i="4"/>
  <c r="AJ52" i="4"/>
  <c r="AN52" i="4" s="1"/>
  <c r="AR52" i="4" s="1"/>
  <c r="AE52" i="4"/>
  <c r="AD52" i="4"/>
  <c r="AC52" i="4"/>
  <c r="AB52" i="4"/>
  <c r="AW52" i="4" s="1"/>
  <c r="X52" i="4"/>
  <c r="K52" i="4"/>
  <c r="U52" i="4" s="1"/>
  <c r="J52" i="4"/>
  <c r="T52" i="4" s="1"/>
  <c r="AY52" i="4" s="1"/>
  <c r="G52" i="4"/>
  <c r="F52" i="4"/>
  <c r="BI52" i="4" s="1"/>
  <c r="E52" i="4"/>
  <c r="D52" i="4"/>
  <c r="CI51" i="4"/>
  <c r="CH51" i="4"/>
  <c r="CG51" i="4"/>
  <c r="CF51" i="4"/>
  <c r="CA51" i="4"/>
  <c r="BZ51" i="4"/>
  <c r="BX51" i="4"/>
  <c r="BW51" i="4"/>
  <c r="BV51" i="4"/>
  <c r="BU51" i="4"/>
  <c r="BP51" i="4"/>
  <c r="BO51" i="4"/>
  <c r="BN51" i="4"/>
  <c r="BM51" i="4"/>
  <c r="BJ51" i="4"/>
  <c r="BG51" i="4"/>
  <c r="BE51" i="4"/>
  <c r="BD51" i="4"/>
  <c r="BC51" i="4"/>
  <c r="BB51" i="4"/>
  <c r="AX51" i="4"/>
  <c r="AW51" i="4"/>
  <c r="AE51" i="4"/>
  <c r="AD51" i="4"/>
  <c r="AC51" i="4"/>
  <c r="AB51" i="4"/>
  <c r="J51" i="4"/>
  <c r="T51" i="4" s="1"/>
  <c r="G51" i="4"/>
  <c r="K51" i="4" s="1"/>
  <c r="U51" i="4" s="1"/>
  <c r="F51" i="4"/>
  <c r="BI51" i="4" s="1"/>
  <c r="E51" i="4"/>
  <c r="D51" i="4"/>
  <c r="CI50" i="4"/>
  <c r="CH50" i="4"/>
  <c r="CG50" i="4"/>
  <c r="CF50" i="4"/>
  <c r="CA50" i="4"/>
  <c r="BZ50" i="4"/>
  <c r="BX50" i="4"/>
  <c r="BW50" i="4"/>
  <c r="BV50" i="4"/>
  <c r="BU50" i="4"/>
  <c r="BP50" i="4"/>
  <c r="BO50" i="4"/>
  <c r="BN50" i="4"/>
  <c r="BM50" i="4"/>
  <c r="BJ50" i="4"/>
  <c r="BG50" i="4"/>
  <c r="BE50" i="4"/>
  <c r="BD50" i="4"/>
  <c r="BC50" i="4"/>
  <c r="BB50" i="4"/>
  <c r="AX50" i="4"/>
  <c r="AW50" i="4"/>
  <c r="AE50" i="4"/>
  <c r="AD50" i="4"/>
  <c r="AC50" i="4"/>
  <c r="AB50" i="4"/>
  <c r="K50" i="4"/>
  <c r="U50" i="4" s="1"/>
  <c r="G50" i="4"/>
  <c r="F50" i="4"/>
  <c r="E50" i="4"/>
  <c r="D50" i="4"/>
  <c r="CI49" i="4"/>
  <c r="CH49" i="4"/>
  <c r="CG49" i="4"/>
  <c r="CF49" i="4"/>
  <c r="CA49" i="4"/>
  <c r="BZ49" i="4"/>
  <c r="BX49" i="4"/>
  <c r="BW49" i="4"/>
  <c r="BV49" i="4"/>
  <c r="BU49" i="4"/>
  <c r="BP49" i="4"/>
  <c r="BO49" i="4"/>
  <c r="BN49" i="4"/>
  <c r="BM49" i="4"/>
  <c r="BJ49" i="4"/>
  <c r="BG49" i="4"/>
  <c r="BE49" i="4"/>
  <c r="BD49" i="4"/>
  <c r="BC49" i="4"/>
  <c r="BB49" i="4"/>
  <c r="AX49" i="4"/>
  <c r="AE49" i="4"/>
  <c r="AD49" i="4"/>
  <c r="AC49" i="4"/>
  <c r="AB49" i="4"/>
  <c r="AW49" i="4" s="1"/>
  <c r="J49" i="4"/>
  <c r="T49" i="4" s="1"/>
  <c r="X49" i="4" s="1"/>
  <c r="G49" i="4"/>
  <c r="K49" i="4" s="1"/>
  <c r="U49" i="4" s="1"/>
  <c r="F49" i="4"/>
  <c r="BI49" i="4" s="1"/>
  <c r="E49" i="4"/>
  <c r="D49" i="4"/>
  <c r="CI48" i="4"/>
  <c r="CH48" i="4"/>
  <c r="CG48" i="4"/>
  <c r="CF48" i="4"/>
  <c r="CA48" i="4"/>
  <c r="BZ48" i="4"/>
  <c r="BX48" i="4"/>
  <c r="BW48" i="4"/>
  <c r="BV48" i="4"/>
  <c r="BU48" i="4"/>
  <c r="BP48" i="4"/>
  <c r="BO48" i="4"/>
  <c r="BN48" i="4"/>
  <c r="BM48" i="4"/>
  <c r="BJ48" i="4"/>
  <c r="BG48" i="4"/>
  <c r="BE48" i="4"/>
  <c r="BD48" i="4"/>
  <c r="BC48" i="4"/>
  <c r="BB48" i="4"/>
  <c r="AX48" i="4"/>
  <c r="AW48" i="4"/>
  <c r="AE48" i="4"/>
  <c r="AD48" i="4"/>
  <c r="AC48" i="4"/>
  <c r="AB48" i="4"/>
  <c r="K48" i="4"/>
  <c r="U48" i="4" s="1"/>
  <c r="G48" i="4"/>
  <c r="F48" i="4"/>
  <c r="E48" i="4"/>
  <c r="D48" i="4"/>
  <c r="CI47" i="4"/>
  <c r="CH47" i="4"/>
  <c r="CG47" i="4"/>
  <c r="CF47" i="4"/>
  <c r="CA47" i="4"/>
  <c r="BZ47" i="4"/>
  <c r="BX47" i="4"/>
  <c r="BW47" i="4"/>
  <c r="BV47" i="4"/>
  <c r="BU47" i="4"/>
  <c r="BP47" i="4"/>
  <c r="BO47" i="4"/>
  <c r="BN47" i="4"/>
  <c r="BM47" i="4"/>
  <c r="BJ47" i="4"/>
  <c r="BG47" i="4"/>
  <c r="BE47" i="4"/>
  <c r="BD47" i="4"/>
  <c r="BC47" i="4"/>
  <c r="BB47" i="4"/>
  <c r="AX47" i="4"/>
  <c r="AW47" i="4"/>
  <c r="AE47" i="4"/>
  <c r="AD47" i="4"/>
  <c r="AC47" i="4"/>
  <c r="AB47" i="4"/>
  <c r="G47" i="4"/>
  <c r="K47" i="4" s="1"/>
  <c r="U47" i="4" s="1"/>
  <c r="F47" i="4"/>
  <c r="E47" i="4"/>
  <c r="D47" i="4"/>
  <c r="CI46" i="4"/>
  <c r="CH46" i="4"/>
  <c r="CG46" i="4"/>
  <c r="CF46" i="4"/>
  <c r="CA46" i="4"/>
  <c r="BZ46" i="4"/>
  <c r="BX46" i="4"/>
  <c r="BW46" i="4"/>
  <c r="BV46" i="4"/>
  <c r="BU46" i="4"/>
  <c r="BP46" i="4"/>
  <c r="BO46" i="4"/>
  <c r="BN46" i="4"/>
  <c r="BM46" i="4"/>
  <c r="BJ46" i="4"/>
  <c r="BG46" i="4"/>
  <c r="BE46" i="4"/>
  <c r="BD46" i="4"/>
  <c r="BC46" i="4"/>
  <c r="BB46" i="4"/>
  <c r="AX46" i="4"/>
  <c r="AE46" i="4"/>
  <c r="AD46" i="4"/>
  <c r="AC46" i="4"/>
  <c r="AB46" i="4"/>
  <c r="AW46" i="4" s="1"/>
  <c r="K46" i="4"/>
  <c r="U46" i="4" s="1"/>
  <c r="J46" i="4"/>
  <c r="T46" i="4" s="1"/>
  <c r="X46" i="4" s="1"/>
  <c r="G46" i="4"/>
  <c r="F46" i="4"/>
  <c r="BI46" i="4" s="1"/>
  <c r="E46" i="4"/>
  <c r="D46" i="4"/>
  <c r="CI45" i="4"/>
  <c r="CH45" i="4"/>
  <c r="CG45" i="4"/>
  <c r="CF45" i="4"/>
  <c r="CA45" i="4"/>
  <c r="BZ45" i="4"/>
  <c r="BX45" i="4"/>
  <c r="BW45" i="4"/>
  <c r="BV45" i="4"/>
  <c r="BU45" i="4"/>
  <c r="BP45" i="4"/>
  <c r="BO45" i="4"/>
  <c r="BN45" i="4"/>
  <c r="BM45" i="4"/>
  <c r="BJ45" i="4"/>
  <c r="BG45" i="4"/>
  <c r="BE45" i="4"/>
  <c r="BD45" i="4"/>
  <c r="BC45" i="4"/>
  <c r="BB45" i="4"/>
  <c r="AX45" i="4"/>
  <c r="AW45" i="4"/>
  <c r="AE45" i="4"/>
  <c r="AD45" i="4"/>
  <c r="AC45" i="4"/>
  <c r="AB45" i="4"/>
  <c r="G45" i="4"/>
  <c r="K45" i="4" s="1"/>
  <c r="U45" i="4" s="1"/>
  <c r="F45" i="4"/>
  <c r="E45" i="4"/>
  <c r="D45" i="4"/>
  <c r="CI44" i="4"/>
  <c r="CH44" i="4"/>
  <c r="CG44" i="4"/>
  <c r="CF44" i="4"/>
  <c r="CA44" i="4"/>
  <c r="BZ44" i="4"/>
  <c r="BX44" i="4"/>
  <c r="BW44" i="4"/>
  <c r="BV44" i="4"/>
  <c r="BU44" i="4"/>
  <c r="BP44" i="4"/>
  <c r="BO44" i="4"/>
  <c r="BN44" i="4"/>
  <c r="BM44" i="4"/>
  <c r="BG44" i="4"/>
  <c r="BE44" i="4"/>
  <c r="BD44" i="4"/>
  <c r="BC44" i="4"/>
  <c r="BB44" i="4"/>
  <c r="AX44" i="4"/>
  <c r="AW44" i="4"/>
  <c r="AE44" i="4"/>
  <c r="AD44" i="4"/>
  <c r="AC44" i="4"/>
  <c r="AB44" i="4"/>
  <c r="G44" i="4"/>
  <c r="K44" i="4" s="1"/>
  <c r="U44" i="4" s="1"/>
  <c r="F44" i="4"/>
  <c r="E44" i="4"/>
  <c r="D44" i="4"/>
  <c r="CI43" i="4"/>
  <c r="CH43" i="4"/>
  <c r="CF43" i="4"/>
  <c r="CG43" i="4" s="1"/>
  <c r="CA43" i="4"/>
  <c r="BZ43" i="4"/>
  <c r="BW43" i="4"/>
  <c r="BX43" i="4" s="1"/>
  <c r="BV43" i="4"/>
  <c r="BU43" i="4"/>
  <c r="BO43" i="4"/>
  <c r="BP43" i="4" s="1"/>
  <c r="BN43" i="4"/>
  <c r="BM43" i="4"/>
  <c r="BJ43" i="4"/>
  <c r="BI43" i="4"/>
  <c r="BG43" i="4"/>
  <c r="BE43" i="4"/>
  <c r="BD43" i="4"/>
  <c r="BC43" i="4"/>
  <c r="BB43" i="4"/>
  <c r="AX43" i="4"/>
  <c r="AW43" i="4"/>
  <c r="AE43" i="4"/>
  <c r="AD43" i="4"/>
  <c r="AC43" i="4"/>
  <c r="AB43" i="4"/>
  <c r="Z43" i="4"/>
  <c r="X43" i="4"/>
  <c r="K43" i="4"/>
  <c r="U43" i="4" s="1"/>
  <c r="J43" i="4"/>
  <c r="T43" i="4" s="1"/>
  <c r="G43" i="4"/>
  <c r="F43" i="4"/>
  <c r="E43" i="4"/>
  <c r="D43" i="4"/>
  <c r="CH42" i="4"/>
  <c r="CI42" i="4" s="1"/>
  <c r="CG42" i="4"/>
  <c r="CF42" i="4"/>
  <c r="CA42" i="4"/>
  <c r="BZ42" i="4"/>
  <c r="BX42" i="4"/>
  <c r="BW42" i="4"/>
  <c r="BU42" i="4"/>
  <c r="BV42" i="4" s="1"/>
  <c r="BP42" i="4"/>
  <c r="BO42" i="4"/>
  <c r="BM42" i="4"/>
  <c r="BN42" i="4" s="1"/>
  <c r="BJ42" i="4"/>
  <c r="BG42" i="4"/>
  <c r="BE42" i="4"/>
  <c r="BD42" i="4"/>
  <c r="BC42" i="4"/>
  <c r="BB42" i="4"/>
  <c r="AZ42" i="4"/>
  <c r="AX42" i="4"/>
  <c r="AE42" i="4"/>
  <c r="AD42" i="4"/>
  <c r="AC42" i="4"/>
  <c r="AB42" i="4"/>
  <c r="AW42" i="4" s="1"/>
  <c r="U42" i="4"/>
  <c r="Z42" i="4" s="1"/>
  <c r="G42" i="4"/>
  <c r="K42" i="4" s="1"/>
  <c r="F42" i="4"/>
  <c r="E42" i="4"/>
  <c r="D42" i="4"/>
  <c r="CI41" i="4"/>
  <c r="CH41" i="4"/>
  <c r="CF41" i="4"/>
  <c r="CG41" i="4" s="1"/>
  <c r="CA41" i="4"/>
  <c r="BZ41" i="4"/>
  <c r="BW41" i="4"/>
  <c r="BX41" i="4" s="1"/>
  <c r="BV41" i="4"/>
  <c r="BU41" i="4"/>
  <c r="BO41" i="4"/>
  <c r="BP41" i="4" s="1"/>
  <c r="BN41" i="4"/>
  <c r="BM41" i="4"/>
  <c r="BJ41" i="4"/>
  <c r="BI41" i="4"/>
  <c r="BG41" i="4"/>
  <c r="BE41" i="4"/>
  <c r="BD41" i="4"/>
  <c r="BC41" i="4"/>
  <c r="BB41" i="4"/>
  <c r="AX41" i="4"/>
  <c r="AW41" i="4"/>
  <c r="AE41" i="4"/>
  <c r="AD41" i="4"/>
  <c r="AC41" i="4"/>
  <c r="AB41" i="4"/>
  <c r="Z41" i="4"/>
  <c r="K41" i="4"/>
  <c r="U41" i="4" s="1"/>
  <c r="J41" i="4"/>
  <c r="T41" i="4" s="1"/>
  <c r="G41" i="4"/>
  <c r="F41" i="4"/>
  <c r="E41" i="4"/>
  <c r="D41" i="4"/>
  <c r="CH40" i="4"/>
  <c r="CI40" i="4" s="1"/>
  <c r="CG40" i="4"/>
  <c r="CF40" i="4"/>
  <c r="CA40" i="4"/>
  <c r="BZ40" i="4"/>
  <c r="BX40" i="4"/>
  <c r="BW40" i="4"/>
  <c r="BU40" i="4"/>
  <c r="BV40" i="4" s="1"/>
  <c r="BP40" i="4"/>
  <c r="BO40" i="4"/>
  <c r="BM40" i="4"/>
  <c r="BN40" i="4" s="1"/>
  <c r="BJ40" i="4"/>
  <c r="BG40" i="4"/>
  <c r="BE40" i="4"/>
  <c r="BD40" i="4"/>
  <c r="BC40" i="4"/>
  <c r="BB40" i="4"/>
  <c r="AX40" i="4"/>
  <c r="AE40" i="4"/>
  <c r="AD40" i="4"/>
  <c r="AC40" i="4"/>
  <c r="AB40" i="4"/>
  <c r="AW40" i="4" s="1"/>
  <c r="U40" i="4"/>
  <c r="Z40" i="4" s="1"/>
  <c r="G40" i="4"/>
  <c r="K40" i="4" s="1"/>
  <c r="F40" i="4"/>
  <c r="E40" i="4"/>
  <c r="D40" i="4"/>
  <c r="CI39" i="4"/>
  <c r="CH39" i="4"/>
  <c r="CF39" i="4"/>
  <c r="CG39" i="4" s="1"/>
  <c r="CA39" i="4"/>
  <c r="BZ39" i="4"/>
  <c r="BW39" i="4"/>
  <c r="BX39" i="4" s="1"/>
  <c r="BV39" i="4"/>
  <c r="BU39" i="4"/>
  <c r="BO39" i="4"/>
  <c r="BP39" i="4" s="1"/>
  <c r="BN39" i="4"/>
  <c r="BM39" i="4"/>
  <c r="BJ39" i="4"/>
  <c r="BI39" i="4"/>
  <c r="BG39" i="4"/>
  <c r="BE39" i="4"/>
  <c r="BD39" i="4"/>
  <c r="BC39" i="4"/>
  <c r="BB39" i="4"/>
  <c r="AX39" i="4"/>
  <c r="AW39" i="4"/>
  <c r="AE39" i="4"/>
  <c r="AD39" i="4"/>
  <c r="AC39" i="4"/>
  <c r="AB39" i="4"/>
  <c r="K39" i="4"/>
  <c r="U39" i="4" s="1"/>
  <c r="J39" i="4"/>
  <c r="T39" i="4" s="1"/>
  <c r="G39" i="4"/>
  <c r="F39" i="4"/>
  <c r="E39" i="4"/>
  <c r="D39" i="4"/>
  <c r="CH38" i="4"/>
  <c r="CI38" i="4" s="1"/>
  <c r="CG38" i="4"/>
  <c r="CF38" i="4"/>
  <c r="CA38" i="4"/>
  <c r="BZ38" i="4"/>
  <c r="BX38" i="4"/>
  <c r="BW38" i="4"/>
  <c r="BU38" i="4"/>
  <c r="BV38" i="4" s="1"/>
  <c r="BP38" i="4"/>
  <c r="BO38" i="4"/>
  <c r="BM38" i="4"/>
  <c r="BN38" i="4" s="1"/>
  <c r="BJ38" i="4"/>
  <c r="BG38" i="4"/>
  <c r="BE38" i="4"/>
  <c r="BD38" i="4"/>
  <c r="BC38" i="4"/>
  <c r="BB38" i="4"/>
  <c r="AX38" i="4"/>
  <c r="AE38" i="4"/>
  <c r="AD38" i="4"/>
  <c r="AC38" i="4"/>
  <c r="AB38" i="4"/>
  <c r="AW38" i="4" s="1"/>
  <c r="G38" i="4"/>
  <c r="K38" i="4" s="1"/>
  <c r="U38" i="4" s="1"/>
  <c r="F38" i="4"/>
  <c r="E38" i="4"/>
  <c r="D38" i="4"/>
  <c r="CI37" i="4"/>
  <c r="CH37" i="4"/>
  <c r="CF37" i="4"/>
  <c r="CG37" i="4" s="1"/>
  <c r="CA37" i="4"/>
  <c r="BZ37" i="4"/>
  <c r="BW37" i="4"/>
  <c r="BX37" i="4" s="1"/>
  <c r="BV37" i="4"/>
  <c r="BU37" i="4"/>
  <c r="BO37" i="4"/>
  <c r="BP37" i="4" s="1"/>
  <c r="BN37" i="4"/>
  <c r="BM37" i="4"/>
  <c r="BJ37" i="4"/>
  <c r="BI37" i="4"/>
  <c r="BG37" i="4"/>
  <c r="BE37" i="4"/>
  <c r="BD37" i="4"/>
  <c r="BC37" i="4"/>
  <c r="BB37" i="4"/>
  <c r="AX37" i="4"/>
  <c r="AW37" i="4"/>
  <c r="AE37" i="4"/>
  <c r="AD37" i="4"/>
  <c r="AC37" i="4"/>
  <c r="AB37" i="4"/>
  <c r="X37" i="4"/>
  <c r="K37" i="4"/>
  <c r="U37" i="4" s="1"/>
  <c r="J37" i="4"/>
  <c r="T37" i="4" s="1"/>
  <c r="G37" i="4"/>
  <c r="F37" i="4"/>
  <c r="E37" i="4"/>
  <c r="D37" i="4"/>
  <c r="CH36" i="4"/>
  <c r="CI36" i="4" s="1"/>
  <c r="CG36" i="4"/>
  <c r="CF36" i="4"/>
  <c r="CA36" i="4"/>
  <c r="BZ36" i="4"/>
  <c r="BX36" i="4"/>
  <c r="BW36" i="4"/>
  <c r="BU36" i="4"/>
  <c r="BV36" i="4" s="1"/>
  <c r="BP36" i="4"/>
  <c r="BO36" i="4"/>
  <c r="BM36" i="4"/>
  <c r="BN36" i="4" s="1"/>
  <c r="BG36" i="4"/>
  <c r="BE36" i="4"/>
  <c r="BD36" i="4"/>
  <c r="BC36" i="4"/>
  <c r="BB36" i="4"/>
  <c r="AX36" i="4"/>
  <c r="AE36" i="4"/>
  <c r="AD36" i="4"/>
  <c r="AC36" i="4"/>
  <c r="AB36" i="4"/>
  <c r="AW36" i="4" s="1"/>
  <c r="G36" i="4"/>
  <c r="K36" i="4" s="1"/>
  <c r="U36" i="4" s="1"/>
  <c r="F36" i="4"/>
  <c r="E36" i="4"/>
  <c r="D36" i="4"/>
  <c r="CI35" i="4"/>
  <c r="CH35" i="4"/>
  <c r="CF35" i="4"/>
  <c r="CG35" i="4" s="1"/>
  <c r="CA35" i="4"/>
  <c r="BZ35" i="4"/>
  <c r="BW35" i="4"/>
  <c r="BX35" i="4" s="1"/>
  <c r="BV35" i="4"/>
  <c r="BU35" i="4"/>
  <c r="BO35" i="4"/>
  <c r="BP35" i="4" s="1"/>
  <c r="BN35" i="4"/>
  <c r="BM35" i="4"/>
  <c r="BI35" i="4"/>
  <c r="BG35" i="4"/>
  <c r="BE35" i="4"/>
  <c r="BD35" i="4"/>
  <c r="BC35" i="4"/>
  <c r="BB35" i="4"/>
  <c r="AX35" i="4"/>
  <c r="AW35" i="4"/>
  <c r="AE35" i="4"/>
  <c r="AD35" i="4"/>
  <c r="AC35" i="4"/>
  <c r="AB35" i="4"/>
  <c r="X35" i="4"/>
  <c r="K35" i="4"/>
  <c r="U35" i="4" s="1"/>
  <c r="J35" i="4"/>
  <c r="T35" i="4" s="1"/>
  <c r="G35" i="4"/>
  <c r="BJ35" i="4" s="1"/>
  <c r="F35" i="4"/>
  <c r="E35" i="4"/>
  <c r="D35" i="4"/>
  <c r="CH34" i="4"/>
  <c r="CI34" i="4" s="1"/>
  <c r="CG34" i="4"/>
  <c r="CF34" i="4"/>
  <c r="CA34" i="4"/>
  <c r="BZ34" i="4"/>
  <c r="BX34" i="4"/>
  <c r="BW34" i="4"/>
  <c r="BU34" i="4"/>
  <c r="BV34" i="4" s="1"/>
  <c r="BP34" i="4"/>
  <c r="BO34" i="4"/>
  <c r="BM34" i="4"/>
  <c r="BN34" i="4" s="1"/>
  <c r="BG34" i="4"/>
  <c r="BE34" i="4"/>
  <c r="BD34" i="4"/>
  <c r="BC34" i="4"/>
  <c r="BB34" i="4"/>
  <c r="AX34" i="4"/>
  <c r="AE34" i="4"/>
  <c r="AD34" i="4"/>
  <c r="AC34" i="4"/>
  <c r="AB34" i="4"/>
  <c r="AW34" i="4" s="1"/>
  <c r="G34" i="4"/>
  <c r="K34" i="4" s="1"/>
  <c r="U34" i="4" s="1"/>
  <c r="F34" i="4"/>
  <c r="E34" i="4"/>
  <c r="D34" i="4"/>
  <c r="CI33" i="4"/>
  <c r="CH33" i="4"/>
  <c r="CF33" i="4"/>
  <c r="CG33" i="4" s="1"/>
  <c r="CA33" i="4"/>
  <c r="BZ33" i="4"/>
  <c r="BW33" i="4"/>
  <c r="BX33" i="4" s="1"/>
  <c r="BV33" i="4"/>
  <c r="BU33" i="4"/>
  <c r="BO33" i="4"/>
  <c r="BP33" i="4" s="1"/>
  <c r="BN33" i="4"/>
  <c r="BM33" i="4"/>
  <c r="BI33" i="4"/>
  <c r="BG33" i="4"/>
  <c r="BE33" i="4"/>
  <c r="BD33" i="4"/>
  <c r="BC33" i="4"/>
  <c r="BB33" i="4"/>
  <c r="AX33" i="4"/>
  <c r="AW33" i="4"/>
  <c r="AE33" i="4"/>
  <c r="AD33" i="4"/>
  <c r="AC33" i="4"/>
  <c r="AB33" i="4"/>
  <c r="X33" i="4"/>
  <c r="K33" i="4"/>
  <c r="U33" i="4" s="1"/>
  <c r="J33" i="4"/>
  <c r="T33" i="4" s="1"/>
  <c r="G33" i="4"/>
  <c r="BJ33" i="4" s="1"/>
  <c r="F33" i="4"/>
  <c r="E33" i="4"/>
  <c r="D33" i="4"/>
  <c r="CH32" i="4"/>
  <c r="CI32" i="4" s="1"/>
  <c r="CG32" i="4"/>
  <c r="CF32" i="4"/>
  <c r="CA32" i="4"/>
  <c r="BZ32" i="4"/>
  <c r="BX32" i="4"/>
  <c r="BW32" i="4"/>
  <c r="BU32" i="4"/>
  <c r="BV32" i="4" s="1"/>
  <c r="BP32" i="4"/>
  <c r="BO32" i="4"/>
  <c r="BM32" i="4"/>
  <c r="BN32" i="4" s="1"/>
  <c r="BG32" i="4"/>
  <c r="BE32" i="4"/>
  <c r="BD32" i="4"/>
  <c r="BC32" i="4"/>
  <c r="BB32" i="4"/>
  <c r="AX32" i="4"/>
  <c r="AE32" i="4"/>
  <c r="AD32" i="4"/>
  <c r="AC32" i="4"/>
  <c r="AB32" i="4"/>
  <c r="AW32" i="4" s="1"/>
  <c r="G32" i="4"/>
  <c r="K32" i="4" s="1"/>
  <c r="U32" i="4" s="1"/>
  <c r="F32" i="4"/>
  <c r="E32" i="4"/>
  <c r="D32" i="4"/>
  <c r="CI31" i="4"/>
  <c r="CH31" i="4"/>
  <c r="CF31" i="4"/>
  <c r="CG31" i="4" s="1"/>
  <c r="CA31" i="4"/>
  <c r="BZ31" i="4"/>
  <c r="BW31" i="4"/>
  <c r="BX31" i="4" s="1"/>
  <c r="BV31" i="4"/>
  <c r="BU31" i="4"/>
  <c r="BO31" i="4"/>
  <c r="BP31" i="4" s="1"/>
  <c r="BN31" i="4"/>
  <c r="BM31" i="4"/>
  <c r="BI31" i="4"/>
  <c r="BG31" i="4"/>
  <c r="BE31" i="4"/>
  <c r="BD31" i="4"/>
  <c r="BC31" i="4"/>
  <c r="BB31" i="4"/>
  <c r="AX31" i="4"/>
  <c r="AW31" i="4"/>
  <c r="AE31" i="4"/>
  <c r="AD31" i="4"/>
  <c r="AC31" i="4"/>
  <c r="AB31" i="4"/>
  <c r="X31" i="4"/>
  <c r="K31" i="4"/>
  <c r="U31" i="4" s="1"/>
  <c r="J31" i="4"/>
  <c r="T31" i="4" s="1"/>
  <c r="G31" i="4"/>
  <c r="BJ31" i="4" s="1"/>
  <c r="F31" i="4"/>
  <c r="E31" i="4"/>
  <c r="D31" i="4"/>
  <c r="CH30" i="4"/>
  <c r="CI30" i="4" s="1"/>
  <c r="CG30" i="4"/>
  <c r="CF30" i="4"/>
  <c r="CA30" i="4"/>
  <c r="BZ30" i="4"/>
  <c r="BX30" i="4"/>
  <c r="BW30" i="4"/>
  <c r="BU30" i="4"/>
  <c r="BV30" i="4" s="1"/>
  <c r="BP30" i="4"/>
  <c r="BO30" i="4"/>
  <c r="BM30" i="4"/>
  <c r="BN30" i="4" s="1"/>
  <c r="BG30" i="4"/>
  <c r="BE30" i="4"/>
  <c r="BD30" i="4"/>
  <c r="BC30" i="4"/>
  <c r="BB30" i="4"/>
  <c r="AX30" i="4"/>
  <c r="AE30" i="4"/>
  <c r="AD30" i="4"/>
  <c r="AC30" i="4"/>
  <c r="AB30" i="4"/>
  <c r="AW30" i="4" s="1"/>
  <c r="G30" i="4"/>
  <c r="BJ30" i="4" s="1"/>
  <c r="F30" i="4"/>
  <c r="E30" i="4"/>
  <c r="D30" i="4"/>
  <c r="CH29" i="4"/>
  <c r="CI29" i="4" s="1"/>
  <c r="CF29" i="4"/>
  <c r="CG29" i="4" s="1"/>
  <c r="CA29" i="4"/>
  <c r="BZ29" i="4"/>
  <c r="BW29" i="4"/>
  <c r="BX29" i="4" s="1"/>
  <c r="BU29" i="4"/>
  <c r="BV29" i="4" s="1"/>
  <c r="BO29" i="4"/>
  <c r="BP29" i="4" s="1"/>
  <c r="BN29" i="4"/>
  <c r="BM29" i="4"/>
  <c r="BI29" i="4"/>
  <c r="BG29" i="4"/>
  <c r="BE29" i="4"/>
  <c r="BD29" i="4"/>
  <c r="BC29" i="4"/>
  <c r="BB29" i="4"/>
  <c r="AX29" i="4"/>
  <c r="AW29" i="4"/>
  <c r="AE29" i="4"/>
  <c r="AD29" i="4"/>
  <c r="AC29" i="4"/>
  <c r="AB29" i="4"/>
  <c r="J29" i="4"/>
  <c r="T29" i="4" s="1"/>
  <c r="G29" i="4"/>
  <c r="BJ29" i="4" s="1"/>
  <c r="F29" i="4"/>
  <c r="E29" i="4"/>
  <c r="D29" i="4"/>
  <c r="CH28" i="4"/>
  <c r="CI28" i="4" s="1"/>
  <c r="CF28" i="4"/>
  <c r="CG28" i="4" s="1"/>
  <c r="CA28" i="4"/>
  <c r="BZ28" i="4"/>
  <c r="BW28" i="4"/>
  <c r="BX28" i="4" s="1"/>
  <c r="BU28" i="4"/>
  <c r="BV28" i="4" s="1"/>
  <c r="BO28" i="4"/>
  <c r="BP28" i="4" s="1"/>
  <c r="BM28" i="4"/>
  <c r="BN28" i="4" s="1"/>
  <c r="BJ28" i="4"/>
  <c r="BI28" i="4"/>
  <c r="BG28" i="4"/>
  <c r="BE28" i="4"/>
  <c r="BD28" i="4"/>
  <c r="BC28" i="4"/>
  <c r="BB28" i="4"/>
  <c r="AX28" i="4"/>
  <c r="AE28" i="4"/>
  <c r="AD28" i="4"/>
  <c r="AC28" i="4"/>
  <c r="AB28" i="4"/>
  <c r="AW28" i="4" s="1"/>
  <c r="K28" i="4"/>
  <c r="U28" i="4" s="1"/>
  <c r="G28" i="4"/>
  <c r="F28" i="4"/>
  <c r="J28" i="4" s="1"/>
  <c r="T28" i="4" s="1"/>
  <c r="E28" i="4"/>
  <c r="D28" i="4"/>
  <c r="CH27" i="4"/>
  <c r="CI27" i="4" s="1"/>
  <c r="CF27" i="4"/>
  <c r="CG27" i="4" s="1"/>
  <c r="CA27" i="4"/>
  <c r="BZ27" i="4"/>
  <c r="BW27" i="4"/>
  <c r="BX27" i="4" s="1"/>
  <c r="BU27" i="4"/>
  <c r="BV27" i="4" s="1"/>
  <c r="BO27" i="4"/>
  <c r="BP27" i="4" s="1"/>
  <c r="BM27" i="4"/>
  <c r="BN27" i="4" s="1"/>
  <c r="BI27" i="4"/>
  <c r="BG27" i="4"/>
  <c r="BE27" i="4"/>
  <c r="BD27" i="4"/>
  <c r="BC27" i="4"/>
  <c r="BB27" i="4"/>
  <c r="AX27" i="4"/>
  <c r="AW27" i="4"/>
  <c r="AE27" i="4"/>
  <c r="AD27" i="4"/>
  <c r="AC27" i="4"/>
  <c r="AB27" i="4"/>
  <c r="J27" i="4"/>
  <c r="T27" i="4" s="1"/>
  <c r="G27" i="4"/>
  <c r="BJ27" i="4" s="1"/>
  <c r="F27" i="4"/>
  <c r="E27" i="4"/>
  <c r="D27" i="4"/>
  <c r="CH26" i="4"/>
  <c r="CI26" i="4" s="1"/>
  <c r="CF26" i="4"/>
  <c r="CG26" i="4" s="1"/>
  <c r="CA26" i="4"/>
  <c r="BZ26" i="4"/>
  <c r="BW26" i="4"/>
  <c r="BX26" i="4" s="1"/>
  <c r="BU26" i="4"/>
  <c r="BV26" i="4" s="1"/>
  <c r="BO26" i="4"/>
  <c r="BP26" i="4" s="1"/>
  <c r="BM26" i="4"/>
  <c r="BN26" i="4" s="1"/>
  <c r="BJ26" i="4"/>
  <c r="BI26" i="4"/>
  <c r="BG26" i="4"/>
  <c r="BE26" i="4"/>
  <c r="BD26" i="4"/>
  <c r="BC26" i="4"/>
  <c r="BB26" i="4"/>
  <c r="AX26" i="4"/>
  <c r="AE26" i="4"/>
  <c r="AD26" i="4"/>
  <c r="AC26" i="4"/>
  <c r="AB26" i="4"/>
  <c r="AW26" i="4" s="1"/>
  <c r="K26" i="4"/>
  <c r="U26" i="4" s="1"/>
  <c r="G26" i="4"/>
  <c r="F26" i="4"/>
  <c r="J26" i="4" s="1"/>
  <c r="T26" i="4" s="1"/>
  <c r="E26" i="4"/>
  <c r="D26" i="4"/>
  <c r="CH25" i="4"/>
  <c r="CI25" i="4" s="1"/>
  <c r="CF25" i="4"/>
  <c r="CG25" i="4" s="1"/>
  <c r="CA25" i="4"/>
  <c r="BZ25" i="4"/>
  <c r="BW25" i="4"/>
  <c r="BX25" i="4" s="1"/>
  <c r="BU25" i="4"/>
  <c r="BV25" i="4" s="1"/>
  <c r="BO25" i="4"/>
  <c r="BP25" i="4" s="1"/>
  <c r="BM25" i="4"/>
  <c r="BN25" i="4" s="1"/>
  <c r="BI25" i="4"/>
  <c r="BG25" i="4"/>
  <c r="BE25" i="4"/>
  <c r="BD25" i="4"/>
  <c r="BC25" i="4"/>
  <c r="BB25" i="4"/>
  <c r="AX25" i="4"/>
  <c r="AW25" i="4"/>
  <c r="AE25" i="4"/>
  <c r="AD25" i="4"/>
  <c r="AC25" i="4"/>
  <c r="AB25" i="4"/>
  <c r="J25" i="4"/>
  <c r="T25" i="4" s="1"/>
  <c r="G25" i="4"/>
  <c r="BJ25" i="4" s="1"/>
  <c r="F25" i="4"/>
  <c r="E25" i="4"/>
  <c r="D25" i="4"/>
  <c r="CH24" i="4"/>
  <c r="CI24" i="4" s="1"/>
  <c r="CF24" i="4"/>
  <c r="CG24" i="4" s="1"/>
  <c r="CA24" i="4"/>
  <c r="BZ24" i="4"/>
  <c r="BW24" i="4"/>
  <c r="BX24" i="4" s="1"/>
  <c r="BU24" i="4"/>
  <c r="BV24" i="4" s="1"/>
  <c r="BO24" i="4"/>
  <c r="BP24" i="4" s="1"/>
  <c r="BM24" i="4"/>
  <c r="BN24" i="4" s="1"/>
  <c r="BJ24" i="4"/>
  <c r="BI24" i="4"/>
  <c r="BG24" i="4"/>
  <c r="BE24" i="4"/>
  <c r="BD24" i="4"/>
  <c r="BC24" i="4"/>
  <c r="BB24" i="4"/>
  <c r="AX24" i="4"/>
  <c r="AE24" i="4"/>
  <c r="AD24" i="4"/>
  <c r="AC24" i="4"/>
  <c r="AB24" i="4"/>
  <c r="AW24" i="4" s="1"/>
  <c r="K24" i="4"/>
  <c r="U24" i="4" s="1"/>
  <c r="G24" i="4"/>
  <c r="F24" i="4"/>
  <c r="J24" i="4" s="1"/>
  <c r="T24" i="4" s="1"/>
  <c r="E24" i="4"/>
  <c r="D24" i="4"/>
  <c r="CH23" i="4"/>
  <c r="CI23" i="4" s="1"/>
  <c r="CF23" i="4"/>
  <c r="CG23" i="4" s="1"/>
  <c r="CA23" i="4"/>
  <c r="BZ23" i="4"/>
  <c r="BW23" i="4"/>
  <c r="BX23" i="4" s="1"/>
  <c r="BU23" i="4"/>
  <c r="BV23" i="4" s="1"/>
  <c r="BO23" i="4"/>
  <c r="BP23" i="4" s="1"/>
  <c r="BM23" i="4"/>
  <c r="BN23" i="4" s="1"/>
  <c r="BI23" i="4"/>
  <c r="BG23" i="4"/>
  <c r="BE23" i="4"/>
  <c r="BD23" i="4"/>
  <c r="BC23" i="4"/>
  <c r="BB23" i="4"/>
  <c r="AX23" i="4"/>
  <c r="AW23" i="4"/>
  <c r="AE23" i="4"/>
  <c r="AD23" i="4"/>
  <c r="AC23" i="4"/>
  <c r="AB23" i="4"/>
  <c r="J23" i="4"/>
  <c r="T23" i="4" s="1"/>
  <c r="G23" i="4"/>
  <c r="BJ23" i="4" s="1"/>
  <c r="F23" i="4"/>
  <c r="E23" i="4"/>
  <c r="D23" i="4"/>
  <c r="CH22" i="4"/>
  <c r="CI22" i="4" s="1"/>
  <c r="CF22" i="4"/>
  <c r="CG22" i="4" s="1"/>
  <c r="CA22" i="4"/>
  <c r="BZ22" i="4"/>
  <c r="BW22" i="4"/>
  <c r="BX22" i="4" s="1"/>
  <c r="BU22" i="4"/>
  <c r="BV22" i="4" s="1"/>
  <c r="BV6" i="4" s="1"/>
  <c r="BO22" i="4"/>
  <c r="BP22" i="4" s="1"/>
  <c r="BM22" i="4"/>
  <c r="BN22" i="4" s="1"/>
  <c r="BJ22" i="4"/>
  <c r="BI22" i="4"/>
  <c r="BG22" i="4"/>
  <c r="BE22" i="4"/>
  <c r="BD22" i="4"/>
  <c r="BC22" i="4"/>
  <c r="BB22" i="4"/>
  <c r="AX22" i="4"/>
  <c r="AE22" i="4"/>
  <c r="AD22" i="4"/>
  <c r="AC22" i="4"/>
  <c r="AB22" i="4"/>
  <c r="AW22" i="4" s="1"/>
  <c r="K22" i="4"/>
  <c r="U22" i="4" s="1"/>
  <c r="G22" i="4"/>
  <c r="F22" i="4"/>
  <c r="J22" i="4" s="1"/>
  <c r="T22" i="4" s="1"/>
  <c r="E22" i="4"/>
  <c r="D22" i="4"/>
  <c r="CH21" i="4"/>
  <c r="CI21" i="4" s="1"/>
  <c r="CF21" i="4"/>
  <c r="CG21" i="4" s="1"/>
  <c r="CA21" i="4"/>
  <c r="BZ21" i="4"/>
  <c r="BW21" i="4"/>
  <c r="BX21" i="4" s="1"/>
  <c r="BU21" i="4"/>
  <c r="BV21" i="4" s="1"/>
  <c r="BO21" i="4"/>
  <c r="BP21" i="4" s="1"/>
  <c r="BM21" i="4"/>
  <c r="BN21" i="4" s="1"/>
  <c r="BI21" i="4"/>
  <c r="BG21" i="4"/>
  <c r="BE21" i="4"/>
  <c r="BD21" i="4"/>
  <c r="BC21" i="4"/>
  <c r="BB21" i="4"/>
  <c r="AX21" i="4"/>
  <c r="AW21" i="4"/>
  <c r="AE21" i="4"/>
  <c r="AD21" i="4"/>
  <c r="AC21" i="4"/>
  <c r="AB21" i="4"/>
  <c r="J21" i="4"/>
  <c r="T21" i="4" s="1"/>
  <c r="G21" i="4"/>
  <c r="BJ21" i="4" s="1"/>
  <c r="F21" i="4"/>
  <c r="E21" i="4"/>
  <c r="D21" i="4"/>
  <c r="CH20" i="4"/>
  <c r="CI20" i="4" s="1"/>
  <c r="CF20" i="4"/>
  <c r="CG20" i="4" s="1"/>
  <c r="CA20" i="4"/>
  <c r="BZ20" i="4"/>
  <c r="BW20" i="4"/>
  <c r="BX20" i="4" s="1"/>
  <c r="BU20" i="4"/>
  <c r="BV20" i="4" s="1"/>
  <c r="BO20" i="4"/>
  <c r="BP20" i="4" s="1"/>
  <c r="BM20" i="4"/>
  <c r="BN20" i="4" s="1"/>
  <c r="BJ20" i="4"/>
  <c r="BI20" i="4"/>
  <c r="BG20" i="4"/>
  <c r="BE20" i="4"/>
  <c r="BD20" i="4"/>
  <c r="BC20" i="4"/>
  <c r="BB20" i="4"/>
  <c r="AX20" i="4"/>
  <c r="AE20" i="4"/>
  <c r="AD20" i="4"/>
  <c r="AC20" i="4"/>
  <c r="AB20" i="4"/>
  <c r="AW20" i="4" s="1"/>
  <c r="AW11" i="4" s="1"/>
  <c r="K20" i="4"/>
  <c r="U20" i="4" s="1"/>
  <c r="G20" i="4"/>
  <c r="F20" i="4"/>
  <c r="J20" i="4" s="1"/>
  <c r="T20" i="4" s="1"/>
  <c r="E20" i="4"/>
  <c r="D20" i="4"/>
  <c r="CH19" i="4"/>
  <c r="CI19" i="4" s="1"/>
  <c r="CF19" i="4"/>
  <c r="CG19" i="4" s="1"/>
  <c r="CA19" i="4"/>
  <c r="BZ19" i="4"/>
  <c r="BZ13" i="4" s="1"/>
  <c r="BW19" i="4"/>
  <c r="BX19" i="4" s="1"/>
  <c r="BU19" i="4"/>
  <c r="BV19" i="4" s="1"/>
  <c r="BO19" i="4"/>
  <c r="BP19" i="4" s="1"/>
  <c r="BM19" i="4"/>
  <c r="BM13" i="4" s="1"/>
  <c r="BI19" i="4"/>
  <c r="BG19" i="4"/>
  <c r="BE19" i="4"/>
  <c r="BD19" i="4"/>
  <c r="BC19" i="4"/>
  <c r="BB19" i="4"/>
  <c r="AX19" i="4"/>
  <c r="AW19" i="4"/>
  <c r="AE19" i="4"/>
  <c r="AD19" i="4"/>
  <c r="AC19" i="4"/>
  <c r="AB19" i="4"/>
  <c r="J19" i="4"/>
  <c r="T19" i="4" s="1"/>
  <c r="G19" i="4"/>
  <c r="BJ19" i="4" s="1"/>
  <c r="F19" i="4"/>
  <c r="E19" i="4"/>
  <c r="D19" i="4"/>
  <c r="A19" i="4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CH18" i="4"/>
  <c r="CI18" i="4" s="1"/>
  <c r="CI9" i="4" s="1"/>
  <c r="CF18" i="4"/>
  <c r="CG18" i="4" s="1"/>
  <c r="CA18" i="4"/>
  <c r="BZ18" i="4"/>
  <c r="BW18" i="4"/>
  <c r="BX18" i="4" s="1"/>
  <c r="BU18" i="4"/>
  <c r="BV18" i="4" s="1"/>
  <c r="BO18" i="4"/>
  <c r="BP18" i="4" s="1"/>
  <c r="BM18" i="4"/>
  <c r="BN18" i="4" s="1"/>
  <c r="BJ18" i="4"/>
  <c r="BI18" i="4"/>
  <c r="BG18" i="4"/>
  <c r="BE18" i="4"/>
  <c r="BD18" i="4"/>
  <c r="BC18" i="4"/>
  <c r="BB18" i="4"/>
  <c r="AX18" i="4"/>
  <c r="AE18" i="4"/>
  <c r="AD18" i="4"/>
  <c r="AC18" i="4"/>
  <c r="AB18" i="4"/>
  <c r="AW18" i="4" s="1"/>
  <c r="K18" i="4"/>
  <c r="U18" i="4" s="1"/>
  <c r="G18" i="4"/>
  <c r="F18" i="4"/>
  <c r="J18" i="4" s="1"/>
  <c r="T18" i="4" s="1"/>
  <c r="E18" i="4"/>
  <c r="D18" i="4"/>
  <c r="A18" i="4"/>
  <c r="CS17" i="4"/>
  <c r="CI17" i="4"/>
  <c r="CH17" i="4"/>
  <c r="CF17" i="4"/>
  <c r="CF13" i="4" s="1"/>
  <c r="CA17" i="4"/>
  <c r="CA13" i="4" s="1"/>
  <c r="BZ17" i="4"/>
  <c r="BW17" i="4"/>
  <c r="BX17" i="4" s="1"/>
  <c r="BV17" i="4"/>
  <c r="BU17" i="4"/>
  <c r="BO17" i="4"/>
  <c r="BO13" i="4" s="1"/>
  <c r="BN17" i="4"/>
  <c r="BM17" i="4"/>
  <c r="BJ17" i="4"/>
  <c r="BI17" i="4"/>
  <c r="BG17" i="4"/>
  <c r="BE17" i="4"/>
  <c r="BD17" i="4"/>
  <c r="BC17" i="4"/>
  <c r="BB17" i="4"/>
  <c r="BB13" i="4" s="1"/>
  <c r="AX17" i="4"/>
  <c r="AW17" i="4"/>
  <c r="AE17" i="4"/>
  <c r="AD17" i="4"/>
  <c r="AC17" i="4"/>
  <c r="AB17" i="4"/>
  <c r="K17" i="4"/>
  <c r="U17" i="4" s="1"/>
  <c r="J17" i="4"/>
  <c r="T17" i="4" s="1"/>
  <c r="G17" i="4"/>
  <c r="F17" i="4"/>
  <c r="E17" i="4"/>
  <c r="D17" i="4"/>
  <c r="CU16" i="4"/>
  <c r="CV16" i="4" s="1"/>
  <c r="CW16" i="4" s="1"/>
  <c r="CX16" i="4" s="1"/>
  <c r="CY16" i="4" s="1"/>
  <c r="CZ16" i="4" s="1"/>
  <c r="DA16" i="4" s="1"/>
  <c r="DB16" i="4" s="1"/>
  <c r="DC16" i="4" s="1"/>
  <c r="DD16" i="4" s="1"/>
  <c r="DE16" i="4" s="1"/>
  <c r="DF16" i="4" s="1"/>
  <c r="DG16" i="4" s="1"/>
  <c r="DH16" i="4" s="1"/>
  <c r="DI16" i="4" s="1"/>
  <c r="DJ16" i="4" s="1"/>
  <c r="DK16" i="4" s="1"/>
  <c r="DL16" i="4" s="1"/>
  <c r="DM16" i="4" s="1"/>
  <c r="DN16" i="4" s="1"/>
  <c r="DO16" i="4" s="1"/>
  <c r="DP16" i="4" s="1"/>
  <c r="DQ16" i="4" s="1"/>
  <c r="DR16" i="4" s="1"/>
  <c r="DS16" i="4" s="1"/>
  <c r="DT16" i="4" s="1"/>
  <c r="DU16" i="4" s="1"/>
  <c r="D16" i="4"/>
  <c r="E16" i="4" s="1"/>
  <c r="B16" i="4"/>
  <c r="C16" i="4" s="1"/>
  <c r="BZ14" i="4"/>
  <c r="BI14" i="4"/>
  <c r="DN13" i="4"/>
  <c r="DM13" i="4"/>
  <c r="DL13" i="4"/>
  <c r="DK13" i="4"/>
  <c r="DJ13" i="4"/>
  <c r="DI13" i="4"/>
  <c r="CS13" i="4"/>
  <c r="CH13" i="4"/>
  <c r="CE13" i="4"/>
  <c r="CD13" i="4"/>
  <c r="CB13" i="4"/>
  <c r="BW13" i="4"/>
  <c r="BU13" i="4"/>
  <c r="BT13" i="4"/>
  <c r="BS13" i="4"/>
  <c r="BR13" i="4"/>
  <c r="BQ13" i="4"/>
  <c r="BL13" i="4"/>
  <c r="BK13" i="4"/>
  <c r="BH13" i="4"/>
  <c r="BC13" i="4"/>
  <c r="AX13" i="4"/>
  <c r="AA13" i="4"/>
  <c r="Y13" i="4"/>
  <c r="W13" i="4"/>
  <c r="S13" i="4"/>
  <c r="R13" i="4"/>
  <c r="Q13" i="4"/>
  <c r="P13" i="4"/>
  <c r="O13" i="4"/>
  <c r="N13" i="4"/>
  <c r="M13" i="4"/>
  <c r="L13" i="4"/>
  <c r="I13" i="4"/>
  <c r="H13" i="4"/>
  <c r="F13" i="4"/>
  <c r="DE12" i="4"/>
  <c r="DN11" i="4"/>
  <c r="DM11" i="4"/>
  <c r="DL11" i="4"/>
  <c r="DK11" i="4"/>
  <c r="DJ11" i="4"/>
  <c r="DI11" i="4"/>
  <c r="CS11" i="4"/>
  <c r="CH11" i="4"/>
  <c r="CF11" i="4"/>
  <c r="CE11" i="4"/>
  <c r="CD11" i="4"/>
  <c r="CB11" i="4"/>
  <c r="CA11" i="4"/>
  <c r="BZ11" i="4"/>
  <c r="BW11" i="4"/>
  <c r="BU11" i="4"/>
  <c r="BT11" i="4"/>
  <c r="BS11" i="4"/>
  <c r="BR11" i="4"/>
  <c r="BQ11" i="4"/>
  <c r="BO11" i="4"/>
  <c r="BM11" i="4"/>
  <c r="BL11" i="4"/>
  <c r="BK11" i="4"/>
  <c r="BH11" i="4"/>
  <c r="BC11" i="4"/>
  <c r="BB11" i="4"/>
  <c r="AX11" i="4"/>
  <c r="Y11" i="4"/>
  <c r="W11" i="4"/>
  <c r="S11" i="4"/>
  <c r="R11" i="4"/>
  <c r="Q11" i="4"/>
  <c r="P11" i="4"/>
  <c r="O11" i="4"/>
  <c r="N11" i="4"/>
  <c r="M11" i="4"/>
  <c r="L11" i="4"/>
  <c r="I11" i="4"/>
  <c r="H11" i="4"/>
  <c r="G11" i="4"/>
  <c r="F11" i="4"/>
  <c r="A7" i="4"/>
  <c r="BX6" i="4"/>
  <c r="R3" i="4"/>
  <c r="C3" i="4"/>
  <c r="E3" i="4" s="1"/>
  <c r="P2" i="4"/>
  <c r="C2" i="4"/>
  <c r="N1" i="4"/>
  <c r="L1" i="4"/>
  <c r="E1" i="4"/>
  <c r="C1" i="4"/>
  <c r="AY21" i="4" l="1"/>
  <c r="AJ21" i="4"/>
  <c r="AN21" i="4" s="1"/>
  <c r="AR21" i="4" s="1"/>
  <c r="X21" i="4"/>
  <c r="AY25" i="4"/>
  <c r="AJ25" i="4"/>
  <c r="AN25" i="4" s="1"/>
  <c r="AR25" i="4" s="1"/>
  <c r="X25" i="4"/>
  <c r="AY29" i="4"/>
  <c r="AJ29" i="4"/>
  <c r="AN29" i="4" s="1"/>
  <c r="AR29" i="4" s="1"/>
  <c r="X29" i="4"/>
  <c r="Z32" i="4"/>
  <c r="AZ32" i="4"/>
  <c r="AK32" i="4"/>
  <c r="AO32" i="4" s="1"/>
  <c r="AS32" i="4" s="1"/>
  <c r="AZ44" i="4"/>
  <c r="AK44" i="4"/>
  <c r="AO44" i="4" s="1"/>
  <c r="AS44" i="4" s="1"/>
  <c r="Z44" i="4"/>
  <c r="AZ17" i="4"/>
  <c r="AK17" i="4"/>
  <c r="AO17" i="4" s="1"/>
  <c r="AS17" i="4" s="1"/>
  <c r="Z17" i="4"/>
  <c r="X20" i="4"/>
  <c r="AY20" i="4"/>
  <c r="AJ20" i="4"/>
  <c r="AN20" i="4" s="1"/>
  <c r="AR20" i="4" s="1"/>
  <c r="AZ22" i="4"/>
  <c r="AK22" i="4"/>
  <c r="AO22" i="4" s="1"/>
  <c r="AS22" i="4" s="1"/>
  <c r="Z22" i="4"/>
  <c r="X24" i="4"/>
  <c r="AY24" i="4"/>
  <c r="AJ24" i="4"/>
  <c r="AN24" i="4" s="1"/>
  <c r="AR24" i="4" s="1"/>
  <c r="AZ26" i="4"/>
  <c r="AK26" i="4"/>
  <c r="AO26" i="4" s="1"/>
  <c r="AS26" i="4" s="1"/>
  <c r="Z26" i="4"/>
  <c r="X28" i="4"/>
  <c r="AY28" i="4"/>
  <c r="AJ28" i="4"/>
  <c r="AN28" i="4" s="1"/>
  <c r="AR28" i="4" s="1"/>
  <c r="AJ51" i="4"/>
  <c r="AN51" i="4" s="1"/>
  <c r="AR51" i="4" s="1"/>
  <c r="X51" i="4"/>
  <c r="AY51" i="4"/>
  <c r="AY17" i="4"/>
  <c r="AJ17" i="4"/>
  <c r="AN17" i="4" s="1"/>
  <c r="AR17" i="4" s="1"/>
  <c r="X17" i="4"/>
  <c r="AZ18" i="4"/>
  <c r="AK18" i="4"/>
  <c r="AO18" i="4" s="1"/>
  <c r="AS18" i="4" s="1"/>
  <c r="Z18" i="4"/>
  <c r="CI6" i="4"/>
  <c r="CI7" i="4"/>
  <c r="CI8" i="4"/>
  <c r="AW13" i="4"/>
  <c r="X18" i="4"/>
  <c r="AY18" i="4"/>
  <c r="AJ18" i="4"/>
  <c r="AN18" i="4" s="1"/>
  <c r="AR18" i="4" s="1"/>
  <c r="AY19" i="4"/>
  <c r="AJ19" i="4"/>
  <c r="AN19" i="4" s="1"/>
  <c r="AR19" i="4" s="1"/>
  <c r="X19" i="4"/>
  <c r="AY23" i="4"/>
  <c r="AJ23" i="4"/>
  <c r="AN23" i="4" s="1"/>
  <c r="AR23" i="4" s="1"/>
  <c r="X23" i="4"/>
  <c r="AY27" i="4"/>
  <c r="AJ27" i="4"/>
  <c r="AN27" i="4" s="1"/>
  <c r="AR27" i="4" s="1"/>
  <c r="X27" i="4"/>
  <c r="Z36" i="4"/>
  <c r="AZ36" i="4"/>
  <c r="AK36" i="4"/>
  <c r="AO36" i="4" s="1"/>
  <c r="AS36" i="4" s="1"/>
  <c r="Z38" i="4"/>
  <c r="AZ38" i="4"/>
  <c r="AK38" i="4"/>
  <c r="AO38" i="4" s="1"/>
  <c r="AS38" i="4" s="1"/>
  <c r="CU12" i="4"/>
  <c r="F16" i="4"/>
  <c r="AZ20" i="4"/>
  <c r="AK20" i="4"/>
  <c r="AO20" i="4" s="1"/>
  <c r="AS20" i="4" s="1"/>
  <c r="Z20" i="4"/>
  <c r="X22" i="4"/>
  <c r="AY22" i="4"/>
  <c r="AJ22" i="4"/>
  <c r="AN22" i="4" s="1"/>
  <c r="AR22" i="4" s="1"/>
  <c r="AZ24" i="4"/>
  <c r="AK24" i="4"/>
  <c r="AO24" i="4" s="1"/>
  <c r="AS24" i="4" s="1"/>
  <c r="Z24" i="4"/>
  <c r="X26" i="4"/>
  <c r="AY26" i="4"/>
  <c r="AJ26" i="4"/>
  <c r="AN26" i="4" s="1"/>
  <c r="AR26" i="4" s="1"/>
  <c r="AZ28" i="4"/>
  <c r="AK28" i="4"/>
  <c r="AO28" i="4" s="1"/>
  <c r="AS28" i="4" s="1"/>
  <c r="Z28" i="4"/>
  <c r="Z34" i="4"/>
  <c r="AZ34" i="4"/>
  <c r="AK34" i="4"/>
  <c r="AO34" i="4" s="1"/>
  <c r="AS34" i="4" s="1"/>
  <c r="AZ31" i="4"/>
  <c r="AK31" i="4"/>
  <c r="AO31" i="4" s="1"/>
  <c r="AS31" i="4" s="1"/>
  <c r="AZ33" i="4"/>
  <c r="AK33" i="4"/>
  <c r="AO33" i="4" s="1"/>
  <c r="AS33" i="4" s="1"/>
  <c r="AZ35" i="4"/>
  <c r="AK35" i="4"/>
  <c r="AO35" i="4" s="1"/>
  <c r="AS35" i="4" s="1"/>
  <c r="AZ37" i="4"/>
  <c r="AK37" i="4"/>
  <c r="AO37" i="4" s="1"/>
  <c r="AS37" i="4" s="1"/>
  <c r="BI38" i="4"/>
  <c r="J38" i="4"/>
  <c r="T38" i="4" s="1"/>
  <c r="AY39" i="4"/>
  <c r="AJ39" i="4"/>
  <c r="AN39" i="4" s="1"/>
  <c r="AR39" i="4" s="1"/>
  <c r="BJ44" i="4"/>
  <c r="BI47" i="4"/>
  <c r="J47" i="4"/>
  <c r="T47" i="4" s="1"/>
  <c r="BI48" i="4"/>
  <c r="J48" i="4"/>
  <c r="T48" i="4" s="1"/>
  <c r="Z49" i="4"/>
  <c r="AZ49" i="4"/>
  <c r="AK49" i="4"/>
  <c r="AO49" i="4" s="1"/>
  <c r="AS49" i="4" s="1"/>
  <c r="BI50" i="4"/>
  <c r="J50" i="4"/>
  <c r="T50" i="4" s="1"/>
  <c r="AZ56" i="4"/>
  <c r="AK56" i="4"/>
  <c r="AO56" i="4" s="1"/>
  <c r="AS56" i="4" s="1"/>
  <c r="Z56" i="4"/>
  <c r="Z57" i="4"/>
  <c r="AZ57" i="4"/>
  <c r="AK57" i="4"/>
  <c r="AO57" i="4" s="1"/>
  <c r="AS57" i="4" s="1"/>
  <c r="BI66" i="4"/>
  <c r="J66" i="4"/>
  <c r="T66" i="4" s="1"/>
  <c r="AY68" i="4"/>
  <c r="AJ68" i="4"/>
  <c r="AN68" i="4" s="1"/>
  <c r="AR68" i="4" s="1"/>
  <c r="AZ72" i="4"/>
  <c r="AK72" i="4"/>
  <c r="AO72" i="4" s="1"/>
  <c r="AS72" i="4" s="1"/>
  <c r="Z72" i="4"/>
  <c r="Z73" i="4"/>
  <c r="AZ73" i="4"/>
  <c r="AK73" i="4"/>
  <c r="AO73" i="4" s="1"/>
  <c r="AS73" i="4" s="1"/>
  <c r="BN19" i="4"/>
  <c r="BI30" i="4"/>
  <c r="BI13" i="4" s="1"/>
  <c r="J30" i="4"/>
  <c r="AZ39" i="4"/>
  <c r="AK39" i="4"/>
  <c r="AO39" i="4" s="1"/>
  <c r="AS39" i="4" s="1"/>
  <c r="BI40" i="4"/>
  <c r="J40" i="4"/>
  <c r="T40" i="4" s="1"/>
  <c r="AY41" i="4"/>
  <c r="AJ41" i="4"/>
  <c r="AN41" i="4" s="1"/>
  <c r="AR41" i="4" s="1"/>
  <c r="BI45" i="4"/>
  <c r="J45" i="4"/>
  <c r="T45" i="4" s="1"/>
  <c r="AZ46" i="4"/>
  <c r="AK46" i="4"/>
  <c r="AO46" i="4" s="1"/>
  <c r="AS46" i="4" s="1"/>
  <c r="Z46" i="4"/>
  <c r="AY46" i="4"/>
  <c r="Z47" i="4"/>
  <c r="AZ47" i="4"/>
  <c r="AK47" i="4"/>
  <c r="AO47" i="4" s="1"/>
  <c r="AS47" i="4" s="1"/>
  <c r="AY49" i="4"/>
  <c r="X54" i="4"/>
  <c r="AY54" i="4"/>
  <c r="X57" i="4"/>
  <c r="AY57" i="4"/>
  <c r="AJ59" i="4"/>
  <c r="AN59" i="4" s="1"/>
  <c r="AR59" i="4" s="1"/>
  <c r="X59" i="4"/>
  <c r="AY59" i="4"/>
  <c r="BI63" i="4"/>
  <c r="J63" i="4"/>
  <c r="T63" i="4" s="1"/>
  <c r="X70" i="4"/>
  <c r="AY70" i="4"/>
  <c r="X73" i="4"/>
  <c r="AY73" i="4"/>
  <c r="BP17" i="4"/>
  <c r="CG17" i="4"/>
  <c r="K19" i="4"/>
  <c r="K21" i="4"/>
  <c r="U21" i="4" s="1"/>
  <c r="K23" i="4"/>
  <c r="U23" i="4" s="1"/>
  <c r="K25" i="4"/>
  <c r="U25" i="4" s="1"/>
  <c r="K27" i="4"/>
  <c r="U27" i="4" s="1"/>
  <c r="K29" i="4"/>
  <c r="U29" i="4" s="1"/>
  <c r="Z31" i="4"/>
  <c r="Z33" i="4"/>
  <c r="Z35" i="4"/>
  <c r="Z37" i="4"/>
  <c r="X39" i="4"/>
  <c r="AK40" i="4"/>
  <c r="AO40" i="4" s="1"/>
  <c r="AS40" i="4" s="1"/>
  <c r="AZ41" i="4"/>
  <c r="AK41" i="4"/>
  <c r="AO41" i="4" s="1"/>
  <c r="AS41" i="4" s="1"/>
  <c r="BI42" i="4"/>
  <c r="J42" i="4"/>
  <c r="T42" i="4" s="1"/>
  <c r="AY43" i="4"/>
  <c r="AJ43" i="4"/>
  <c r="AN43" i="4" s="1"/>
  <c r="AR43" i="4" s="1"/>
  <c r="AJ46" i="4"/>
  <c r="AN46" i="4" s="1"/>
  <c r="AR46" i="4" s="1"/>
  <c r="AZ48" i="4"/>
  <c r="AK48" i="4"/>
  <c r="AO48" i="4" s="1"/>
  <c r="AS48" i="4" s="1"/>
  <c r="Z48" i="4"/>
  <c r="AJ49" i="4"/>
  <c r="AN49" i="4" s="1"/>
  <c r="AR49" i="4" s="1"/>
  <c r="AJ57" i="4"/>
  <c r="AN57" i="4" s="1"/>
  <c r="AR57" i="4" s="1"/>
  <c r="BI58" i="4"/>
  <c r="J58" i="4"/>
  <c r="T58" i="4" s="1"/>
  <c r="AY60" i="4"/>
  <c r="AJ60" i="4"/>
  <c r="AN60" i="4" s="1"/>
  <c r="AR60" i="4" s="1"/>
  <c r="AZ64" i="4"/>
  <c r="AK64" i="4"/>
  <c r="AO64" i="4" s="1"/>
  <c r="AS64" i="4" s="1"/>
  <c r="Z64" i="4"/>
  <c r="Z65" i="4"/>
  <c r="AZ65" i="4"/>
  <c r="AK65" i="4"/>
  <c r="AO65" i="4" s="1"/>
  <c r="AS65" i="4" s="1"/>
  <c r="X68" i="4"/>
  <c r="AJ73" i="4"/>
  <c r="AN73" i="4" s="1"/>
  <c r="AR73" i="4" s="1"/>
  <c r="Z88" i="4"/>
  <c r="AZ88" i="4"/>
  <c r="AK88" i="4"/>
  <c r="AO88" i="4" s="1"/>
  <c r="AS88" i="4" s="1"/>
  <c r="G13" i="4"/>
  <c r="K30" i="4"/>
  <c r="U30" i="4" s="1"/>
  <c r="AY31" i="4"/>
  <c r="AJ31" i="4"/>
  <c r="AN31" i="4" s="1"/>
  <c r="AR31" i="4" s="1"/>
  <c r="BI32" i="4"/>
  <c r="J32" i="4"/>
  <c r="T32" i="4" s="1"/>
  <c r="BJ32" i="4"/>
  <c r="BJ13" i="4" s="1"/>
  <c r="AY33" i="4"/>
  <c r="AJ33" i="4"/>
  <c r="AN33" i="4" s="1"/>
  <c r="AR33" i="4" s="1"/>
  <c r="BI34" i="4"/>
  <c r="J34" i="4"/>
  <c r="T34" i="4" s="1"/>
  <c r="BJ34" i="4"/>
  <c r="AY35" i="4"/>
  <c r="AJ35" i="4"/>
  <c r="AN35" i="4" s="1"/>
  <c r="AR35" i="4" s="1"/>
  <c r="BI36" i="4"/>
  <c r="J36" i="4"/>
  <c r="T36" i="4" s="1"/>
  <c r="BJ36" i="4"/>
  <c r="AY37" i="4"/>
  <c r="AJ37" i="4"/>
  <c r="AN37" i="4" s="1"/>
  <c r="AR37" i="4" s="1"/>
  <c r="Z39" i="4"/>
  <c r="AZ40" i="4"/>
  <c r="X41" i="4"/>
  <c r="AK42" i="4"/>
  <c r="AO42" i="4" s="1"/>
  <c r="AS42" i="4" s="1"/>
  <c r="AZ43" i="4"/>
  <c r="AK43" i="4"/>
  <c r="AO43" i="4" s="1"/>
  <c r="AS43" i="4" s="1"/>
  <c r="BI44" i="4"/>
  <c r="J44" i="4"/>
  <c r="T44" i="4" s="1"/>
  <c r="AJ54" i="4"/>
  <c r="AN54" i="4" s="1"/>
  <c r="AR54" i="4" s="1"/>
  <c r="BI55" i="4"/>
  <c r="J55" i="4"/>
  <c r="T55" i="4" s="1"/>
  <c r="X62" i="4"/>
  <c r="AY62" i="4"/>
  <c r="X65" i="4"/>
  <c r="AY65" i="4"/>
  <c r="AJ67" i="4"/>
  <c r="AN67" i="4" s="1"/>
  <c r="AR67" i="4" s="1"/>
  <c r="X67" i="4"/>
  <c r="AY67" i="4"/>
  <c r="AJ70" i="4"/>
  <c r="AN70" i="4" s="1"/>
  <c r="AR70" i="4" s="1"/>
  <c r="BI71" i="4"/>
  <c r="J71" i="4"/>
  <c r="T71" i="4" s="1"/>
  <c r="X78" i="4"/>
  <c r="AY78" i="4"/>
  <c r="AJ78" i="4"/>
  <c r="AN78" i="4" s="1"/>
  <c r="AR78" i="4" s="1"/>
  <c r="AZ54" i="4"/>
  <c r="AK54" i="4"/>
  <c r="AO54" i="4" s="1"/>
  <c r="AS54" i="4" s="1"/>
  <c r="Z54" i="4"/>
  <c r="Z55" i="4"/>
  <c r="AZ55" i="4"/>
  <c r="AK55" i="4"/>
  <c r="AO55" i="4" s="1"/>
  <c r="AS55" i="4" s="1"/>
  <c r="AZ62" i="4"/>
  <c r="AK62" i="4"/>
  <c r="AO62" i="4" s="1"/>
  <c r="AS62" i="4" s="1"/>
  <c r="Z62" i="4"/>
  <c r="Z63" i="4"/>
  <c r="AZ63" i="4"/>
  <c r="AK63" i="4"/>
  <c r="AO63" i="4" s="1"/>
  <c r="AS63" i="4" s="1"/>
  <c r="AZ70" i="4"/>
  <c r="AK70" i="4"/>
  <c r="AO70" i="4" s="1"/>
  <c r="AS70" i="4" s="1"/>
  <c r="Z70" i="4"/>
  <c r="Z71" i="4"/>
  <c r="AZ71" i="4"/>
  <c r="AK71" i="4"/>
  <c r="AO71" i="4" s="1"/>
  <c r="AS71" i="4" s="1"/>
  <c r="BJ74" i="4"/>
  <c r="K74" i="4"/>
  <c r="U74" i="4" s="1"/>
  <c r="AY80" i="4"/>
  <c r="AJ80" i="4"/>
  <c r="AN80" i="4" s="1"/>
  <c r="AR80" i="4" s="1"/>
  <c r="X80" i="4"/>
  <c r="X87" i="4"/>
  <c r="AY87" i="4"/>
  <c r="AJ87" i="4"/>
  <c r="AN87" i="4" s="1"/>
  <c r="AR87" i="4" s="1"/>
  <c r="AY90" i="4"/>
  <c r="AJ90" i="4"/>
  <c r="AN90" i="4" s="1"/>
  <c r="AR90" i="4" s="1"/>
  <c r="X90" i="4"/>
  <c r="AK91" i="4"/>
  <c r="AO91" i="4" s="1"/>
  <c r="AS91" i="4" s="1"/>
  <c r="AZ91" i="4"/>
  <c r="Z91" i="4"/>
  <c r="Z45" i="4"/>
  <c r="AZ45" i="4"/>
  <c r="AK45" i="4"/>
  <c r="AO45" i="4" s="1"/>
  <c r="AS45" i="4" s="1"/>
  <c r="AZ52" i="4"/>
  <c r="AK52" i="4"/>
  <c r="AO52" i="4" s="1"/>
  <c r="AS52" i="4" s="1"/>
  <c r="Z52" i="4"/>
  <c r="Z53" i="4"/>
  <c r="AZ53" i="4"/>
  <c r="AK53" i="4"/>
  <c r="AO53" i="4" s="1"/>
  <c r="AS53" i="4" s="1"/>
  <c r="AZ60" i="4"/>
  <c r="AK60" i="4"/>
  <c r="AO60" i="4" s="1"/>
  <c r="AS60" i="4" s="1"/>
  <c r="Z60" i="4"/>
  <c r="Z61" i="4"/>
  <c r="AZ61" i="4"/>
  <c r="AK61" i="4"/>
  <c r="AO61" i="4" s="1"/>
  <c r="AS61" i="4" s="1"/>
  <c r="AZ68" i="4"/>
  <c r="AK68" i="4"/>
  <c r="AO68" i="4" s="1"/>
  <c r="AS68" i="4" s="1"/>
  <c r="Z68" i="4"/>
  <c r="Z69" i="4"/>
  <c r="AZ69" i="4"/>
  <c r="AK69" i="4"/>
  <c r="AO69" i="4" s="1"/>
  <c r="AS69" i="4" s="1"/>
  <c r="AY75" i="4"/>
  <c r="AJ75" i="4"/>
  <c r="AN75" i="4" s="1"/>
  <c r="AR75" i="4" s="1"/>
  <c r="X75" i="4"/>
  <c r="AK76" i="4"/>
  <c r="AO76" i="4" s="1"/>
  <c r="AS76" i="4" s="1"/>
  <c r="AZ76" i="4"/>
  <c r="Z76" i="4"/>
  <c r="BJ77" i="4"/>
  <c r="K77" i="4"/>
  <c r="U77" i="4" s="1"/>
  <c r="AZ50" i="4"/>
  <c r="AK50" i="4"/>
  <c r="AO50" i="4" s="1"/>
  <c r="AS50" i="4" s="1"/>
  <c r="Z50" i="4"/>
  <c r="Z51" i="4"/>
  <c r="AZ51" i="4"/>
  <c r="AK51" i="4"/>
  <c r="AO51" i="4" s="1"/>
  <c r="AS51" i="4" s="1"/>
  <c r="J53" i="4"/>
  <c r="T53" i="4" s="1"/>
  <c r="J56" i="4"/>
  <c r="T56" i="4" s="1"/>
  <c r="AZ58" i="4"/>
  <c r="AK58" i="4"/>
  <c r="AO58" i="4" s="1"/>
  <c r="AS58" i="4" s="1"/>
  <c r="Z58" i="4"/>
  <c r="Z59" i="4"/>
  <c r="AZ59" i="4"/>
  <c r="AK59" i="4"/>
  <c r="AO59" i="4" s="1"/>
  <c r="AS59" i="4" s="1"/>
  <c r="J61" i="4"/>
  <c r="T61" i="4" s="1"/>
  <c r="J64" i="4"/>
  <c r="T64" i="4" s="1"/>
  <c r="AZ66" i="4"/>
  <c r="AK66" i="4"/>
  <c r="AO66" i="4" s="1"/>
  <c r="AS66" i="4" s="1"/>
  <c r="Z66" i="4"/>
  <c r="Z67" i="4"/>
  <c r="AZ67" i="4"/>
  <c r="AK67" i="4"/>
  <c r="AO67" i="4" s="1"/>
  <c r="AS67" i="4" s="1"/>
  <c r="J69" i="4"/>
  <c r="T69" i="4" s="1"/>
  <c r="J72" i="4"/>
  <c r="T72" i="4" s="1"/>
  <c r="J76" i="4"/>
  <c r="T76" i="4" s="1"/>
  <c r="BI76" i="4"/>
  <c r="AZ80" i="4"/>
  <c r="AK80" i="4"/>
  <c r="AO80" i="4" s="1"/>
  <c r="AS80" i="4" s="1"/>
  <c r="Z80" i="4"/>
  <c r="X95" i="4"/>
  <c r="AY95" i="4"/>
  <c r="AJ95" i="4"/>
  <c r="AN95" i="4" s="1"/>
  <c r="AR95" i="4" s="1"/>
  <c r="AJ74" i="4"/>
  <c r="AN74" i="4" s="1"/>
  <c r="AR74" i="4" s="1"/>
  <c r="AK75" i="4"/>
  <c r="AO75" i="4" s="1"/>
  <c r="AS75" i="4" s="1"/>
  <c r="AY77" i="4"/>
  <c r="AJ77" i="4"/>
  <c r="AN77" i="4" s="1"/>
  <c r="AR77" i="4" s="1"/>
  <c r="BJ79" i="4"/>
  <c r="K79" i="4"/>
  <c r="U79" i="4" s="1"/>
  <c r="BI81" i="4"/>
  <c r="J81" i="4"/>
  <c r="T81" i="4" s="1"/>
  <c r="K83" i="4"/>
  <c r="U83" i="4" s="1"/>
  <c r="BJ83" i="4"/>
  <c r="AZ84" i="4"/>
  <c r="AK84" i="4"/>
  <c r="AO84" i="4" s="1"/>
  <c r="AS84" i="4" s="1"/>
  <c r="Z84" i="4"/>
  <c r="X89" i="4"/>
  <c r="AY89" i="4"/>
  <c r="AY92" i="4"/>
  <c r="AJ92" i="4"/>
  <c r="AN92" i="4" s="1"/>
  <c r="AR92" i="4" s="1"/>
  <c r="AY79" i="4"/>
  <c r="AJ79" i="4"/>
  <c r="AN79" i="4" s="1"/>
  <c r="AR79" i="4" s="1"/>
  <c r="BJ81" i="4"/>
  <c r="K81" i="4"/>
  <c r="U81" i="4" s="1"/>
  <c r="Z96" i="4"/>
  <c r="AZ96" i="4"/>
  <c r="AY74" i="4"/>
  <c r="X77" i="4"/>
  <c r="AZ78" i="4"/>
  <c r="AK78" i="4"/>
  <c r="AO78" i="4" s="1"/>
  <c r="AS78" i="4" s="1"/>
  <c r="AZ82" i="4"/>
  <c r="AK82" i="4"/>
  <c r="AO82" i="4" s="1"/>
  <c r="AS82" i="4" s="1"/>
  <c r="Z82" i="4"/>
  <c r="K85" i="4"/>
  <c r="U85" i="4" s="1"/>
  <c r="BJ85" i="4"/>
  <c r="AZ87" i="4"/>
  <c r="Z87" i="4"/>
  <c r="AK87" i="4"/>
  <c r="AO87" i="4" s="1"/>
  <c r="AS87" i="4" s="1"/>
  <c r="BJ91" i="4"/>
  <c r="AK96" i="4"/>
  <c r="AO96" i="4" s="1"/>
  <c r="AS96" i="4" s="1"/>
  <c r="X93" i="4"/>
  <c r="AJ93" i="4"/>
  <c r="AN93" i="4" s="1"/>
  <c r="AR93" i="4" s="1"/>
  <c r="BJ94" i="4"/>
  <c r="K94" i="4"/>
  <c r="U94" i="4" s="1"/>
  <c r="AY82" i="4"/>
  <c r="AJ82" i="4"/>
  <c r="AN82" i="4" s="1"/>
  <c r="AR82" i="4" s="1"/>
  <c r="BI83" i="4"/>
  <c r="J83" i="4"/>
  <c r="T83" i="4" s="1"/>
  <c r="AY84" i="4"/>
  <c r="AJ84" i="4"/>
  <c r="AN84" i="4" s="1"/>
  <c r="AR84" i="4" s="1"/>
  <c r="BI85" i="4"/>
  <c r="J85" i="4"/>
  <c r="T85" i="4" s="1"/>
  <c r="BJ86" i="4"/>
  <c r="K86" i="4"/>
  <c r="U86" i="4" s="1"/>
  <c r="K89" i="4"/>
  <c r="U89" i="4" s="1"/>
  <c r="Z90" i="4"/>
  <c r="J91" i="4"/>
  <c r="T91" i="4" s="1"/>
  <c r="BI91" i="4"/>
  <c r="BJ92" i="4"/>
  <c r="K92" i="4"/>
  <c r="U92" i="4" s="1"/>
  <c r="AZ93" i="4"/>
  <c r="Z93" i="4"/>
  <c r="AY93" i="4"/>
  <c r="AZ95" i="4"/>
  <c r="Z95" i="4"/>
  <c r="AY86" i="4"/>
  <c r="AJ86" i="4"/>
  <c r="AN86" i="4" s="1"/>
  <c r="AR86" i="4" s="1"/>
  <c r="BI89" i="4"/>
  <c r="AY94" i="4"/>
  <c r="AJ94" i="4"/>
  <c r="AN94" i="4" s="1"/>
  <c r="AR94" i="4" s="1"/>
  <c r="AY88" i="4"/>
  <c r="AJ88" i="4"/>
  <c r="AN88" i="4" s="1"/>
  <c r="AR88" i="4" s="1"/>
  <c r="AY96" i="4"/>
  <c r="AJ96" i="4"/>
  <c r="AN96" i="4" s="1"/>
  <c r="AR96" i="4" s="1"/>
  <c r="AY69" i="4" l="1"/>
  <c r="AJ69" i="4"/>
  <c r="AN69" i="4" s="1"/>
  <c r="AR69" i="4" s="1"/>
  <c r="X69" i="4"/>
  <c r="AY61" i="4"/>
  <c r="AJ61" i="4"/>
  <c r="AN61" i="4" s="1"/>
  <c r="AR61" i="4" s="1"/>
  <c r="X61" i="4"/>
  <c r="AY44" i="4"/>
  <c r="X44" i="4"/>
  <c r="AJ44" i="4"/>
  <c r="AN44" i="4" s="1"/>
  <c r="AR44" i="4" s="1"/>
  <c r="X34" i="4"/>
  <c r="AJ34" i="4"/>
  <c r="AN34" i="4" s="1"/>
  <c r="AR34" i="4" s="1"/>
  <c r="AY34" i="4"/>
  <c r="Z23" i="4"/>
  <c r="AZ23" i="4"/>
  <c r="AK23" i="4"/>
  <c r="AO23" i="4" s="1"/>
  <c r="AS23" i="4" s="1"/>
  <c r="BN9" i="4"/>
  <c r="BN8" i="4"/>
  <c r="BN7" i="4"/>
  <c r="BN6" i="4"/>
  <c r="AY47" i="4"/>
  <c r="AJ47" i="4"/>
  <c r="AN47" i="4" s="1"/>
  <c r="AR47" i="4" s="1"/>
  <c r="X47" i="4"/>
  <c r="Z79" i="4"/>
  <c r="AZ79" i="4"/>
  <c r="AK79" i="4"/>
  <c r="AO79" i="4" s="1"/>
  <c r="AS79" i="4" s="1"/>
  <c r="AY55" i="4"/>
  <c r="AJ55" i="4"/>
  <c r="AN55" i="4" s="1"/>
  <c r="AR55" i="4" s="1"/>
  <c r="X55" i="4"/>
  <c r="X32" i="4"/>
  <c r="AJ32" i="4"/>
  <c r="AN32" i="4" s="1"/>
  <c r="AR32" i="4" s="1"/>
  <c r="AY32" i="4"/>
  <c r="Z30" i="4"/>
  <c r="AZ30" i="4"/>
  <c r="AK30" i="4"/>
  <c r="AO30" i="4" s="1"/>
  <c r="AS30" i="4" s="1"/>
  <c r="AY58" i="4"/>
  <c r="AJ58" i="4"/>
  <c r="AN58" i="4" s="1"/>
  <c r="AR58" i="4" s="1"/>
  <c r="X58" i="4"/>
  <c r="Z29" i="4"/>
  <c r="AZ29" i="4"/>
  <c r="AK29" i="4"/>
  <c r="AO29" i="4" s="1"/>
  <c r="AS29" i="4" s="1"/>
  <c r="Z21" i="4"/>
  <c r="AZ21" i="4"/>
  <c r="AK21" i="4"/>
  <c r="AO21" i="4" s="1"/>
  <c r="AS21" i="4" s="1"/>
  <c r="AY63" i="4"/>
  <c r="AJ63" i="4"/>
  <c r="AN63" i="4" s="1"/>
  <c r="AR63" i="4" s="1"/>
  <c r="X63" i="4"/>
  <c r="AY66" i="4"/>
  <c r="AJ66" i="4"/>
  <c r="AN66" i="4" s="1"/>
  <c r="AR66" i="4" s="1"/>
  <c r="X66" i="4"/>
  <c r="AY50" i="4"/>
  <c r="AJ50" i="4"/>
  <c r="AN50" i="4" s="1"/>
  <c r="AR50" i="4" s="1"/>
  <c r="X50" i="4"/>
  <c r="X38" i="4"/>
  <c r="AY38" i="4"/>
  <c r="AJ38" i="4"/>
  <c r="AN38" i="4" s="1"/>
  <c r="AR38" i="4" s="1"/>
  <c r="G16" i="4"/>
  <c r="DM12" i="4"/>
  <c r="AK86" i="4"/>
  <c r="AO86" i="4" s="1"/>
  <c r="AS86" i="4" s="1"/>
  <c r="Z86" i="4"/>
  <c r="AZ86" i="4"/>
  <c r="AY53" i="4"/>
  <c r="AJ53" i="4"/>
  <c r="AN53" i="4" s="1"/>
  <c r="AR53" i="4" s="1"/>
  <c r="X53" i="4"/>
  <c r="AK74" i="4"/>
  <c r="AO74" i="4" s="1"/>
  <c r="AS74" i="4" s="1"/>
  <c r="Z74" i="4"/>
  <c r="AZ74" i="4"/>
  <c r="BJ11" i="4"/>
  <c r="BP9" i="4"/>
  <c r="BP6" i="4"/>
  <c r="BP8" i="4"/>
  <c r="BP7" i="4"/>
  <c r="X91" i="4"/>
  <c r="AJ91" i="4"/>
  <c r="AN91" i="4" s="1"/>
  <c r="AR91" i="4" s="1"/>
  <c r="AY91" i="4"/>
  <c r="AK92" i="4"/>
  <c r="AO92" i="4" s="1"/>
  <c r="AS92" i="4" s="1"/>
  <c r="AZ92" i="4"/>
  <c r="Z92" i="4"/>
  <c r="X85" i="4"/>
  <c r="AJ85" i="4"/>
  <c r="AN85" i="4" s="1"/>
  <c r="AR85" i="4" s="1"/>
  <c r="AY85" i="4"/>
  <c r="X83" i="4"/>
  <c r="AJ83" i="4"/>
  <c r="AN83" i="4" s="1"/>
  <c r="AR83" i="4" s="1"/>
  <c r="AY83" i="4"/>
  <c r="AK94" i="4"/>
  <c r="AO94" i="4" s="1"/>
  <c r="AS94" i="4" s="1"/>
  <c r="Z94" i="4"/>
  <c r="AZ94" i="4"/>
  <c r="AK81" i="4"/>
  <c r="AO81" i="4" s="1"/>
  <c r="AS81" i="4" s="1"/>
  <c r="AZ81" i="4"/>
  <c r="Z81" i="4"/>
  <c r="Z83" i="4"/>
  <c r="AZ83" i="4"/>
  <c r="AK83" i="4"/>
  <c r="AO83" i="4" s="1"/>
  <c r="AS83" i="4" s="1"/>
  <c r="X76" i="4"/>
  <c r="AJ76" i="4"/>
  <c r="AN76" i="4" s="1"/>
  <c r="AR76" i="4" s="1"/>
  <c r="AY76" i="4"/>
  <c r="K13" i="4"/>
  <c r="Z27" i="4"/>
  <c r="AZ27" i="4"/>
  <c r="AK27" i="4"/>
  <c r="AO27" i="4" s="1"/>
  <c r="AS27" i="4" s="1"/>
  <c r="U19" i="4"/>
  <c r="K11" i="4"/>
  <c r="AY45" i="4"/>
  <c r="AJ45" i="4"/>
  <c r="AN45" i="4" s="1"/>
  <c r="AR45" i="4" s="1"/>
  <c r="X45" i="4"/>
  <c r="X40" i="4"/>
  <c r="AY40" i="4"/>
  <c r="AJ40" i="4"/>
  <c r="AN40" i="4" s="1"/>
  <c r="AR40" i="4" s="1"/>
  <c r="T30" i="4"/>
  <c r="J13" i="4"/>
  <c r="J11" i="4"/>
  <c r="AJ48" i="4"/>
  <c r="AN48" i="4" s="1"/>
  <c r="AR48" i="4" s="1"/>
  <c r="X48" i="4"/>
  <c r="AY48" i="4"/>
  <c r="Z85" i="4"/>
  <c r="AZ85" i="4"/>
  <c r="AK85" i="4"/>
  <c r="AO85" i="4" s="1"/>
  <c r="AS85" i="4" s="1"/>
  <c r="AK89" i="4"/>
  <c r="AO89" i="4" s="1"/>
  <c r="AS89" i="4" s="1"/>
  <c r="Z89" i="4"/>
  <c r="AZ89" i="4"/>
  <c r="X81" i="4"/>
  <c r="AJ81" i="4"/>
  <c r="AN81" i="4" s="1"/>
  <c r="AR81" i="4" s="1"/>
  <c r="AY81" i="4"/>
  <c r="AJ72" i="4"/>
  <c r="AN72" i="4" s="1"/>
  <c r="AR72" i="4" s="1"/>
  <c r="X72" i="4"/>
  <c r="AY72" i="4"/>
  <c r="AJ64" i="4"/>
  <c r="AN64" i="4" s="1"/>
  <c r="AR64" i="4" s="1"/>
  <c r="X64" i="4"/>
  <c r="AY64" i="4"/>
  <c r="AJ56" i="4"/>
  <c r="AN56" i="4" s="1"/>
  <c r="AR56" i="4" s="1"/>
  <c r="X56" i="4"/>
  <c r="AY56" i="4"/>
  <c r="Z77" i="4"/>
  <c r="AZ77" i="4"/>
  <c r="AK77" i="4"/>
  <c r="AO77" i="4" s="1"/>
  <c r="AS77" i="4" s="1"/>
  <c r="AY71" i="4"/>
  <c r="AJ71" i="4"/>
  <c r="AN71" i="4" s="1"/>
  <c r="AR71" i="4" s="1"/>
  <c r="X71" i="4"/>
  <c r="X36" i="4"/>
  <c r="AJ36" i="4"/>
  <c r="AN36" i="4" s="1"/>
  <c r="AR36" i="4" s="1"/>
  <c r="AY36" i="4"/>
  <c r="X42" i="4"/>
  <c r="AY42" i="4"/>
  <c r="AJ42" i="4"/>
  <c r="AN42" i="4" s="1"/>
  <c r="AR42" i="4" s="1"/>
  <c r="Z25" i="4"/>
  <c r="AZ25" i="4"/>
  <c r="AK25" i="4"/>
  <c r="AO25" i="4" s="1"/>
  <c r="AS25" i="4" s="1"/>
  <c r="CG6" i="4"/>
  <c r="CG8" i="4"/>
  <c r="CG7" i="4"/>
  <c r="CG9" i="4"/>
  <c r="BI11" i="4"/>
  <c r="DN12" i="4" l="1"/>
  <c r="H16" i="4"/>
  <c r="X30" i="4"/>
  <c r="AJ30" i="4"/>
  <c r="AN30" i="4" s="1"/>
  <c r="AR30" i="4" s="1"/>
  <c r="AY30" i="4"/>
  <c r="T13" i="4"/>
  <c r="T11" i="4"/>
  <c r="Z19" i="4"/>
  <c r="AZ19" i="4"/>
  <c r="AK19" i="4"/>
  <c r="AO19" i="4" s="1"/>
  <c r="AS19" i="4" s="1"/>
  <c r="U13" i="4"/>
  <c r="U11" i="4"/>
  <c r="BK14" i="4"/>
  <c r="X11" i="4" l="1"/>
  <c r="X13" i="4"/>
  <c r="I16" i="4"/>
  <c r="CD14" i="4" s="1"/>
  <c r="J15" i="4"/>
  <c r="AZ13" i="4"/>
  <c r="AZ11" i="4"/>
  <c r="AY13" i="4"/>
  <c r="AY11" i="4"/>
  <c r="Z13" i="4"/>
  <c r="Z11" i="4"/>
  <c r="J16" i="4" l="1"/>
  <c r="K15" i="4"/>
  <c r="K16" i="4" l="1"/>
  <c r="BB14" i="4"/>
  <c r="L16" i="4" l="1"/>
  <c r="M16" i="4" l="1"/>
  <c r="N16" i="4" l="1"/>
  <c r="O16" i="4" l="1"/>
  <c r="P16" i="4" l="1"/>
  <c r="Q16" i="4" l="1"/>
  <c r="R16" i="4" l="1"/>
  <c r="S16" i="4" l="1"/>
  <c r="T14" i="4"/>
  <c r="T16" i="4" l="1"/>
  <c r="U14" i="4"/>
  <c r="U16" i="4" l="1"/>
  <c r="V16" i="4" l="1"/>
  <c r="AZ14" i="4"/>
  <c r="AT14" i="4"/>
  <c r="W16" i="4" l="1"/>
  <c r="X16" i="4" s="1"/>
  <c r="Y16" i="4" s="1"/>
  <c r="Z16" i="4" s="1"/>
  <c r="AA16" i="4" s="1"/>
  <c r="AY14" i="4"/>
  <c r="AX14" i="4" l="1"/>
  <c r="AB16" i="4"/>
  <c r="AC16" i="4" l="1"/>
  <c r="CV12" i="4"/>
  <c r="AD16" i="4" l="1"/>
  <c r="CY12" i="4"/>
  <c r="AE16" i="4" l="1"/>
  <c r="DC12" i="4"/>
  <c r="DD12" i="4" l="1"/>
  <c r="AF16" i="4"/>
  <c r="AG16" i="4" l="1"/>
  <c r="AH16" i="4" s="1"/>
  <c r="AI16" i="4" s="1"/>
  <c r="AJ16" i="4" s="1"/>
  <c r="AK16" i="4" s="1"/>
  <c r="AL16" i="4" s="1"/>
  <c r="AM16" i="4" s="1"/>
  <c r="AN16" i="4" s="1"/>
  <c r="AO16" i="4" s="1"/>
  <c r="AP16" i="4" s="1"/>
  <c r="AQ16" i="4" s="1"/>
  <c r="AR16" i="4" s="1"/>
  <c r="AS16" i="4" s="1"/>
  <c r="AT16" i="4" s="1"/>
  <c r="AU16" i="4" s="1"/>
  <c r="BB16" i="4" s="1"/>
  <c r="BC16" i="4" s="1"/>
  <c r="BD16" i="4" s="1"/>
  <c r="AW14" i="4"/>
  <c r="BE16" i="4" l="1"/>
  <c r="DF12" i="4"/>
  <c r="BF16" i="4" l="1"/>
  <c r="BG16" i="4" s="1"/>
  <c r="DG12" i="4"/>
  <c r="BH16" i="4" l="1"/>
  <c r="BI16" i="4" s="1"/>
  <c r="BJ16" i="4" s="1"/>
  <c r="BK16" i="4" s="1"/>
  <c r="DR12" i="4"/>
  <c r="BL16" i="4" l="1"/>
  <c r="BM16" i="4" s="1"/>
  <c r="BN16" i="4" s="1"/>
  <c r="BO16" i="4" s="1"/>
  <c r="BP16" i="4" s="1"/>
  <c r="BQ16" i="4" s="1"/>
  <c r="BM14" i="4"/>
  <c r="BY14" i="4" l="1"/>
  <c r="BR16" i="4"/>
  <c r="BS16" i="4" s="1"/>
  <c r="BT16" i="4" s="1"/>
  <c r="BU16" i="4" s="1"/>
  <c r="BV16" i="4" s="1"/>
  <c r="BW16" i="4" s="1"/>
  <c r="BX16" i="4" s="1"/>
  <c r="BY16" i="4" s="1"/>
  <c r="BZ16" i="4" s="1"/>
  <c r="CA16" i="4" s="1"/>
  <c r="CB16" i="4" s="1"/>
  <c r="CC16" i="4" s="1"/>
  <c r="CD16" i="4" s="1"/>
  <c r="CE16" i="4" l="1"/>
  <c r="CF16" i="4" s="1"/>
  <c r="CG16" i="4" s="1"/>
  <c r="CH16" i="4" s="1"/>
  <c r="CI16" i="4" s="1"/>
  <c r="CJ16" i="4" s="1"/>
  <c r="CK16" i="4" s="1"/>
  <c r="CL16" i="4" s="1"/>
  <c r="BU14" i="4"/>
  <c r="CF14" i="4" l="1"/>
</calcChain>
</file>

<file path=xl/comments1.xml><?xml version="1.0" encoding="utf-8"?>
<comments xmlns="http://schemas.openxmlformats.org/spreadsheetml/2006/main">
  <authors>
    <author>esinchenko</author>
    <author>Шаповалова Инна Витальевна</author>
    <author>Заботина Марина Владимировна</author>
  </authors>
  <commentList>
    <comment ref="C14" authorId="0" shapeId="0">
      <text>
        <r>
          <rPr>
            <b/>
            <sz val="8"/>
            <color indexed="81"/>
            <rFont val="Tahoma"/>
            <family val="2"/>
            <charset val="204"/>
          </rPr>
          <t>esinchenko:</t>
        </r>
        <r>
          <rPr>
            <sz val="8"/>
            <color indexed="81"/>
            <rFont val="Tahoma"/>
            <family val="2"/>
            <charset val="204"/>
          </rPr>
          <t xml:space="preserve">
4-х значный код ОП
заполняется руками
</t>
        </r>
      </text>
    </comment>
    <comment ref="AW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заполнены:
- либо графы "Наименование НО" и "дата / ФИО подписанта", 
- либо графа "Не подтверждено актом сверки"</t>
        </r>
      </text>
    </comment>
    <comment ref="AX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>заполнены:
- либо графы "Невыясненные расхождения Дт / Кт"", 
- либо графа "Не подтверждено актом сверки"</t>
        </r>
      </text>
    </comment>
    <comment ref="AY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 xml:space="preserve">
если есть расхождение по Дт, д.б. заполнены пояснения</t>
        </r>
      </text>
    </comment>
    <comment ref="AZ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sz val="12"/>
            <color indexed="81"/>
            <rFont val="Tahoma"/>
            <family val="2"/>
            <charset val="204"/>
          </rPr>
          <t xml:space="preserve">
если есть расхождение по Кт, д.б. заполнены пояснения</t>
        </r>
      </text>
    </comment>
    <comment ref="BI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для наглядности и использования в формулах по контролю заполнения последующих граф</t>
        </r>
      </text>
    </comment>
    <comment ref="BZ14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для наглядности и исп.в формулах по контролю заполнения послед.граф</t>
        </r>
      </text>
    </comment>
    <comment ref="CS14" authorId="2" shapeId="0">
      <text>
        <r>
          <rPr>
            <b/>
            <sz val="8"/>
            <color indexed="81"/>
            <rFont val="Tahoma"/>
            <family val="2"/>
            <charset val="204"/>
          </rPr>
          <t>Заботина Марина Владимировна:</t>
        </r>
        <r>
          <rPr>
            <sz val="8"/>
            <color indexed="81"/>
            <rFont val="Tahoma"/>
            <family val="2"/>
            <charset val="204"/>
          </rPr>
          <t xml:space="preserve">
данную формулу необходимо растиражировать на листе по кол-ву строк  самостоятельно</t>
        </r>
      </text>
    </comment>
    <comment ref="X15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сумма в графе слева не м.б. 
- больше суммы сальдо 
- иметь знак, отличный от знака суммы сальдо  (положит / отрицат)</t>
        </r>
      </text>
    </comment>
    <comment ref="Z15" authorId="1" shapeId="0">
      <text>
        <r>
          <rPr>
            <b/>
            <sz val="9"/>
            <color indexed="81"/>
            <rFont val="Tahoma"/>
            <family val="2"/>
            <charset val="204"/>
          </rPr>
          <t>Шаповалова Инна Витальевна:</t>
        </r>
        <r>
          <rPr>
            <sz val="9"/>
            <color indexed="81"/>
            <rFont val="Tahoma"/>
            <family val="2"/>
            <charset val="204"/>
          </rPr>
          <t xml:space="preserve">
сумма в графе слева не м.б. 
- больше суммы сальдо 
- иметь знак, отличный от знака суммы сальдо  (положит / отрицат)</t>
        </r>
      </text>
    </comment>
  </commentList>
</comments>
</file>

<file path=xl/sharedStrings.xml><?xml version="1.0" encoding="utf-8"?>
<sst xmlns="http://schemas.openxmlformats.org/spreadsheetml/2006/main" count="173" uniqueCount="97">
  <si>
    <t>Наименование подразделения :</t>
  </si>
  <si>
    <t>Отчётный период:</t>
  </si>
  <si>
    <t>Устранено</t>
  </si>
  <si>
    <t>Дата составления:</t>
  </si>
  <si>
    <t>Работы ведутся</t>
  </si>
  <si>
    <t>К1</t>
  </si>
  <si>
    <t>К2</t>
  </si>
  <si>
    <t>К3</t>
  </si>
  <si>
    <t>К4</t>
  </si>
  <si>
    <t>К5</t>
  </si>
  <si>
    <t>К6</t>
  </si>
  <si>
    <t>К7</t>
  </si>
  <si>
    <t>К8</t>
  </si>
  <si>
    <t>К9</t>
  </si>
  <si>
    <t>К10</t>
  </si>
  <si>
    <t>К11</t>
  </si>
  <si>
    <t>К12</t>
  </si>
  <si>
    <t>К13</t>
  </si>
  <si>
    <t>!!!сумма к списанию больше суммы сальдо</t>
  </si>
  <si>
    <t>!!! Отрицательное сальдо не допустимо</t>
  </si>
  <si>
    <t>сумма к списанию больше суммы сальдо</t>
  </si>
  <si>
    <t>выгрузка Отчета о сверке с бюджетом (Р12)</t>
  </si>
  <si>
    <t>есть признак просроченности, включить в списание</t>
  </si>
  <si>
    <t>х</t>
  </si>
  <si>
    <t>Расчеты по налогу на добавленную стоимость в качестве налогоплательщика</t>
  </si>
  <si>
    <t>сумма д.б.положительной</t>
  </si>
  <si>
    <t>(наименование налога, сбора)</t>
  </si>
  <si>
    <t>проверить правильность указания суммы списания, т.к. она меньше сальдо</t>
  </si>
  <si>
    <t>Промежуточный итог (в случае использования фильтра):</t>
  </si>
  <si>
    <t>графы</t>
  </si>
  <si>
    <t xml:space="preserve">ИТОГО </t>
  </si>
  <si>
    <t>№ п/п</t>
  </si>
  <si>
    <t>Наименование  подразделения</t>
  </si>
  <si>
    <t>Код НО ОП 
(4-х значный код файл F05)</t>
  </si>
  <si>
    <t>Тип операции</t>
  </si>
  <si>
    <t>Счет БУ</t>
  </si>
  <si>
    <t>По данным налогоплательщика  (сч.68) /
 страхователя (сч.69)</t>
  </si>
  <si>
    <t>По данным НО (сч.68) / 
ГВФ (сч.69)</t>
  </si>
  <si>
    <t>Расхождения "РТК - НО": 
- положительная сумма - в РТК сумма сальдо больше, 
- отрицательная сумма - в НО сумма сальдо больше</t>
  </si>
  <si>
    <t>Для ЦБ: начислено за посл.налог.период (3 кв.2021г)</t>
  </si>
  <si>
    <t>Объяснение причин расхождений по налогу, пени/штрафам</t>
  </si>
  <si>
    <t>Невыясненные расхождения (заполняется на основании объяснений МР / проверки ОНУО НД)</t>
  </si>
  <si>
    <t xml:space="preserve">Сальдо не подтверждено актом сверки,
 " * " </t>
  </si>
  <si>
    <t>Наименование НО</t>
  </si>
  <si>
    <t>ИНН</t>
  </si>
  <si>
    <t>ОКТМО</t>
  </si>
  <si>
    <t>КПП в ОГП</t>
  </si>
  <si>
    <t>Дата подписания акта /Ф.И.О. лица, представляющего интересы ОАО "Ростелеком".</t>
  </si>
  <si>
    <t>Реквизиты акта сверки
(номер, дата)</t>
  </si>
  <si>
    <r>
      <t xml:space="preserve">Сумма, на которую устранены расхождения
</t>
    </r>
    <r>
      <rPr>
        <b/>
        <i/>
        <sz val="10"/>
        <color rgb="FFFF0000"/>
        <rFont val="Times New Roman"/>
        <family val="1"/>
        <charset val="204"/>
      </rPr>
      <t xml:space="preserve">(заполняется вручную)  </t>
    </r>
  </si>
  <si>
    <t xml:space="preserve">Сальдо расхождений на дату _________
(указать дату)  </t>
  </si>
  <si>
    <r>
      <t xml:space="preserve">Статус по расхождения
</t>
    </r>
    <r>
      <rPr>
        <b/>
        <i/>
        <sz val="10"/>
        <color rgb="FFFF0000"/>
        <rFont val="Times New Roman"/>
        <family val="1"/>
        <charset val="204"/>
      </rPr>
      <t>(выбрать из выпадающего списка)</t>
    </r>
  </si>
  <si>
    <t>Период</t>
  </si>
  <si>
    <t>Основание</t>
  </si>
  <si>
    <t>пояснение о причинах образования сальдо БУ, период</t>
  </si>
  <si>
    <t>Дата ГК</t>
  </si>
  <si>
    <t>Просроченная задолженность "1"</t>
  </si>
  <si>
    <t xml:space="preserve">Предлагаемые КОРРЕКТИРОВКИ в БУ (кроме операций списания): 
операции сторно указать отрицательной суммой </t>
  </si>
  <si>
    <t>пояснение о причинах образования сальдо НО, период</t>
  </si>
  <si>
    <t>Контроль заполнения аналитик "тип платежа"</t>
  </si>
  <si>
    <t>Наименование 
НО / ГВФ</t>
  </si>
  <si>
    <t xml:space="preserve">КПП </t>
  </si>
  <si>
    <t>КПП подразделения (КПП НО)</t>
  </si>
  <si>
    <t>Номер заказчика</t>
  </si>
  <si>
    <t>Налог</t>
  </si>
  <si>
    <t>ОКАТО</t>
  </si>
  <si>
    <t>Реквизиты уточненной декларации - номер корректировки</t>
  </si>
  <si>
    <t>КБК</t>
  </si>
  <si>
    <t>Документ, номер</t>
  </si>
  <si>
    <t>Документ, дата</t>
  </si>
  <si>
    <t>Текст проводки / 
Заголовок инвойса</t>
  </si>
  <si>
    <t>Автор проводки</t>
  </si>
  <si>
    <t>Автор инвойса</t>
  </si>
  <si>
    <t>Сальдо исх. Дт (Переплата)</t>
  </si>
  <si>
    <t>Сальдо исх. Кт (Недоимка)</t>
  </si>
  <si>
    <t>Дт / Переплата</t>
  </si>
  <si>
    <t>Кт / Недоимка</t>
  </si>
  <si>
    <t xml:space="preserve">Дт (Переплата) </t>
  </si>
  <si>
    <t>контроль</t>
  </si>
  <si>
    <t xml:space="preserve">Кт (Недоимка) </t>
  </si>
  <si>
    <t>Дт - разница между сальдо и списанием (налог, штраф / пени)</t>
  </si>
  <si>
    <t>Кт - разница между сальдо и списанием (налог, штраф / пени)</t>
  </si>
  <si>
    <t>Дт (Переплата) кор-ка между сч.68, 69</t>
  </si>
  <si>
    <t>Дт (Переплата) Кт 91,99 (доход)</t>
  </si>
  <si>
    <t>Кт (Недоимка)  кор-ка между сч.68, 69</t>
  </si>
  <si>
    <t>Кт (Недоимка)  Дт 3*,91,99 (расход)</t>
  </si>
  <si>
    <t>Дт - разница между сальдо и корректировкой (налог, штраф / пени)</t>
  </si>
  <si>
    <t>Кт - разница между сальдо и корректировкой (налог, штраф / пени)</t>
  </si>
  <si>
    <t>Сальдо вх. Дт (Переплата)</t>
  </si>
  <si>
    <t>Сальдо вх. Кт (Недоимка)</t>
  </si>
  <si>
    <t>Обороты Дт (Переплата)</t>
  </si>
  <si>
    <t>Обороты Кт (Недоимка)</t>
  </si>
  <si>
    <t>Х</t>
  </si>
  <si>
    <t>Директор макрорегионального филиала</t>
  </si>
  <si>
    <t>подпись</t>
  </si>
  <si>
    <t>Председатель рабочей инвентаризационной комиссии макрорегионального филиала</t>
  </si>
  <si>
    <t>Члены комиссии: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</si>
</sst>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_ ;[Red]\-#,##0.00\ "/>
    <numFmt numFmtId="165" formatCode="#,##0_ ;[Red]\-#,##0\ "/>
    <numFmt numFmtId="166" formatCode="_-* #,##0.00_р_._-;\-* #,##0.00_р_._-;_-* &quot;-&quot;??_р_._-;_-@_-"/>
    <numFmt numFmtId="167" formatCode="0.00_ ;[Red]\-0.00\ "/>
  </numFmts>
  <fonts count="33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10"/>
      <name val="Times New Roman"/>
      <family val="1"/>
    </font>
    <font>
      <sz val="10"/>
      <color theme="9" tint="-0.499984740745262"/>
      <name val="Times New Roman"/>
      <family val="1"/>
    </font>
    <font>
      <sz val="12"/>
      <name val="Times New Roman"/>
      <family val="1"/>
    </font>
    <font>
      <sz val="10"/>
      <name val="Arial Cyr"/>
      <charset val="204"/>
    </font>
    <font>
      <sz val="10"/>
      <color indexed="9"/>
      <name val="Times New Roman"/>
      <family val="1"/>
    </font>
    <font>
      <b/>
      <sz val="10"/>
      <name val="Times New Roman"/>
      <family val="1"/>
      <charset val="204"/>
    </font>
    <font>
      <b/>
      <sz val="12"/>
      <color indexed="10"/>
      <name val="Times New Roman"/>
      <family val="1"/>
    </font>
    <font>
      <b/>
      <sz val="10"/>
      <name val="Times New Roman"/>
      <family val="1"/>
    </font>
    <font>
      <b/>
      <sz val="10"/>
      <color rgb="FF0000FF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FF"/>
      <name val="Times New Roman"/>
      <family val="1"/>
      <charset val="204"/>
    </font>
    <font>
      <sz val="10"/>
      <color indexed="18"/>
      <name val="Times New Roman"/>
      <family val="1"/>
    </font>
    <font>
      <sz val="13"/>
      <name val="Times New Roman"/>
      <family val="1"/>
    </font>
    <font>
      <b/>
      <sz val="14"/>
      <name val="Times New Roman"/>
      <family val="1"/>
    </font>
    <font>
      <sz val="8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  <charset val="204"/>
    </font>
    <font>
      <b/>
      <i/>
      <sz val="10"/>
      <name val="Times New Roman"/>
      <family val="1"/>
    </font>
    <font>
      <b/>
      <i/>
      <sz val="10"/>
      <color rgb="FFFF0000"/>
      <name val="Times New Roman"/>
      <family val="1"/>
      <charset val="204"/>
    </font>
    <font>
      <sz val="10"/>
      <color rgb="FF0000FF"/>
      <name val="Times New Roman"/>
      <family val="1"/>
    </font>
    <font>
      <i/>
      <sz val="10"/>
      <color indexed="12"/>
      <name val="Times New Roman"/>
      <family val="1"/>
    </font>
    <font>
      <b/>
      <i/>
      <sz val="10"/>
      <color rgb="FF0000FF"/>
      <name val="Times New Roman"/>
      <family val="1"/>
    </font>
    <font>
      <i/>
      <sz val="10"/>
      <name val="Times New Roman"/>
      <family val="1"/>
      <charset val="204"/>
    </font>
    <font>
      <sz val="10"/>
      <name val="Times New Roman CE"/>
      <family val="1"/>
      <charset val="238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2"/>
      <color indexed="81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7" fillId="0" borderId="0"/>
  </cellStyleXfs>
  <cellXfs count="148">
    <xf numFmtId="0" fontId="0" fillId="0" borderId="0" xfId="0"/>
    <xf numFmtId="0" fontId="2" fillId="0" borderId="1" xfId="1" applyFont="1" applyFill="1" applyBorder="1" applyAlignment="1" applyProtection="1">
      <alignment horizontal="left" vertical="center"/>
      <protection locked="0"/>
    </xf>
    <xf numFmtId="0" fontId="3" fillId="0" borderId="1" xfId="1" applyFont="1" applyFill="1" applyBorder="1" applyAlignment="1" applyProtection="1">
      <alignment horizontal="left" vertical="center"/>
      <protection locked="0"/>
    </xf>
    <xf numFmtId="0" fontId="3" fillId="0" borderId="0" xfId="1" applyFont="1" applyFill="1" applyBorder="1" applyAlignment="1" applyProtection="1">
      <alignment horizontal="left" vertical="center"/>
      <protection locked="0"/>
    </xf>
    <xf numFmtId="0" fontId="4" fillId="0" borderId="0" xfId="1" applyFont="1" applyBorder="1" applyAlignment="1" applyProtection="1">
      <alignment horizontal="left" vertical="center"/>
      <protection locked="0"/>
    </xf>
    <xf numFmtId="4" fontId="3" fillId="0" borderId="0" xfId="1" applyNumberFormat="1" applyFont="1" applyAlignment="1" applyProtection="1">
      <alignment vertical="center"/>
      <protection locked="0"/>
    </xf>
    <xf numFmtId="0" fontId="3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3" fillId="0" borderId="0" xfId="1" applyFont="1" applyAlignment="1" applyProtection="1">
      <alignment vertical="center" wrapText="1"/>
      <protection locked="0"/>
    </xf>
    <xf numFmtId="0" fontId="6" fillId="0" borderId="0" xfId="1" applyFont="1" applyAlignment="1" applyProtection="1">
      <alignment vertical="center"/>
      <protection locked="0"/>
    </xf>
    <xf numFmtId="0" fontId="7" fillId="0" borderId="0" xfId="2" applyProtection="1">
      <protection locked="0"/>
    </xf>
    <xf numFmtId="0" fontId="7" fillId="2" borderId="0" xfId="2" applyFill="1" applyProtection="1">
      <protection locked="0"/>
    </xf>
    <xf numFmtId="164" fontId="3" fillId="0" borderId="1" xfId="1" applyNumberFormat="1" applyFont="1" applyBorder="1" applyAlignment="1" applyProtection="1">
      <alignment vertical="center"/>
      <protection locked="0"/>
    </xf>
    <xf numFmtId="0" fontId="8" fillId="0" borderId="0" xfId="1" applyFont="1" applyAlignment="1" applyProtection="1">
      <alignment vertical="center"/>
      <protection locked="0"/>
    </xf>
    <xf numFmtId="14" fontId="9" fillId="3" borderId="1" xfId="1" applyNumberFormat="1" applyFont="1" applyFill="1" applyBorder="1" applyAlignment="1" applyProtection="1">
      <alignment horizontal="left" vertical="center"/>
      <protection locked="0"/>
    </xf>
    <xf numFmtId="14" fontId="9" fillId="3" borderId="0" xfId="1" applyNumberFormat="1" applyFont="1" applyFill="1" applyBorder="1" applyAlignment="1" applyProtection="1">
      <alignment horizontal="left" vertical="center"/>
      <protection locked="0"/>
    </xf>
    <xf numFmtId="0" fontId="10" fillId="0" borderId="0" xfId="1" applyFont="1" applyAlignment="1" applyProtection="1">
      <alignment vertical="center"/>
      <protection locked="0"/>
    </xf>
    <xf numFmtId="49" fontId="11" fillId="0" borderId="0" xfId="1" applyNumberFormat="1" applyFont="1" applyFill="1" applyBorder="1" applyAlignment="1" applyProtection="1">
      <alignment horizontal="center" vertical="center"/>
      <protection locked="0"/>
    </xf>
    <xf numFmtId="0" fontId="3" fillId="0" borderId="0" xfId="1" applyFont="1" applyFill="1" applyAlignment="1" applyProtection="1">
      <alignment vertical="center"/>
      <protection locked="0"/>
    </xf>
    <xf numFmtId="49" fontId="11" fillId="0" borderId="0" xfId="1" applyNumberFormat="1" applyFont="1" applyFill="1" applyBorder="1" applyAlignment="1" applyProtection="1">
      <alignment horizontal="center" vertical="center" wrapText="1"/>
      <protection locked="0"/>
    </xf>
    <xf numFmtId="14" fontId="3" fillId="3" borderId="1" xfId="1" applyNumberFormat="1" applyFont="1" applyFill="1" applyBorder="1" applyAlignment="1" applyProtection="1">
      <alignment horizontal="left" vertical="center"/>
      <protection locked="0"/>
    </xf>
    <xf numFmtId="14" fontId="3" fillId="3" borderId="0" xfId="1" applyNumberFormat="1" applyFont="1" applyFill="1" applyBorder="1" applyAlignment="1" applyProtection="1">
      <alignment horizontal="left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  <protection locked="0"/>
    </xf>
    <xf numFmtId="0" fontId="13" fillId="0" borderId="0" xfId="1" applyFont="1" applyAlignment="1" applyProtection="1">
      <alignment vertical="center"/>
      <protection locked="0"/>
    </xf>
    <xf numFmtId="0" fontId="9" fillId="0" borderId="0" xfId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vertical="center"/>
      <protection locked="0"/>
    </xf>
    <xf numFmtId="0" fontId="3" fillId="0" borderId="1" xfId="1" applyFont="1" applyBorder="1" applyAlignment="1" applyProtection="1">
      <alignment vertical="center"/>
      <protection locked="0"/>
    </xf>
    <xf numFmtId="0" fontId="3" fillId="0" borderId="1" xfId="1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 applyProtection="1">
      <alignment vertical="center" wrapText="1"/>
      <protection locked="0"/>
    </xf>
    <xf numFmtId="0" fontId="13" fillId="0" borderId="0" xfId="1" applyFont="1" applyAlignment="1" applyProtection="1">
      <alignment vertical="center" wrapText="1"/>
      <protection locked="0"/>
    </xf>
    <xf numFmtId="0" fontId="15" fillId="0" borderId="0" xfId="1" applyFont="1" applyAlignment="1" applyProtection="1">
      <alignment vertical="center"/>
      <protection locked="0"/>
    </xf>
    <xf numFmtId="0" fontId="3" fillId="4" borderId="0" xfId="1" applyFont="1" applyFill="1" applyAlignment="1" applyProtection="1">
      <alignment vertical="center"/>
      <protection locked="0"/>
    </xf>
    <xf numFmtId="0" fontId="6" fillId="0" borderId="0" xfId="1" applyFont="1" applyAlignment="1" applyProtection="1">
      <alignment horizontal="left"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4" fontId="3" fillId="0" borderId="0" xfId="1" applyNumberFormat="1" applyFont="1" applyAlignment="1" applyProtection="1">
      <alignment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49" fontId="17" fillId="0" borderId="2" xfId="1" applyNumberFormat="1" applyFont="1" applyBorder="1" applyAlignment="1" applyProtection="1">
      <alignment horizontal="left" vertical="center"/>
      <protection locked="0"/>
    </xf>
    <xf numFmtId="49" fontId="11" fillId="0" borderId="2" xfId="1" applyNumberFormat="1" applyFont="1" applyBorder="1" applyAlignment="1" applyProtection="1">
      <alignment horizontal="center" vertical="center"/>
      <protection locked="0"/>
    </xf>
    <xf numFmtId="0" fontId="0" fillId="0" borderId="0" xfId="1" applyFont="1" applyAlignment="1" applyProtection="1">
      <protection locked="0"/>
    </xf>
    <xf numFmtId="164" fontId="0" fillId="0" borderId="0" xfId="1" applyNumberFormat="1" applyFont="1" applyAlignment="1" applyProtection="1">
      <protection locked="0"/>
    </xf>
    <xf numFmtId="49" fontId="11" fillId="0" borderId="0" xfId="1" applyNumberFormat="1" applyFont="1" applyBorder="1" applyAlignment="1" applyProtection="1">
      <alignment horizontal="center" vertical="center"/>
      <protection locked="0"/>
    </xf>
    <xf numFmtId="0" fontId="18" fillId="0" borderId="3" xfId="1" applyFont="1" applyBorder="1" applyAlignment="1" applyProtection="1">
      <alignment horizontal="left" vertical="center"/>
      <protection locked="0"/>
    </xf>
    <xf numFmtId="0" fontId="18" fillId="0" borderId="3" xfId="1" applyFont="1" applyBorder="1" applyAlignment="1" applyProtection="1">
      <alignment horizontal="center" vertical="center"/>
      <protection locked="0"/>
    </xf>
    <xf numFmtId="0" fontId="18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Fill="1" applyBorder="1" applyAlignment="1" applyProtection="1">
      <alignment horizontal="center" vertical="center"/>
      <protection locked="0"/>
    </xf>
    <xf numFmtId="0" fontId="3" fillId="0" borderId="0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165" fontId="3" fillId="0" borderId="1" xfId="1" applyNumberFormat="1" applyFont="1" applyBorder="1" applyAlignment="1" applyProtection="1">
      <alignment vertical="center"/>
      <protection locked="0"/>
    </xf>
    <xf numFmtId="164" fontId="3" fillId="0" borderId="1" xfId="1" applyNumberFormat="1" applyFont="1" applyBorder="1" applyAlignment="1" applyProtection="1">
      <alignment vertical="center" wrapText="1"/>
      <protection locked="0"/>
    </xf>
    <xf numFmtId="166" fontId="19" fillId="0" borderId="0" xfId="1" applyNumberFormat="1" applyFont="1" applyFill="1" applyAlignment="1" applyProtection="1">
      <alignment vertical="center"/>
      <protection locked="0"/>
    </xf>
    <xf numFmtId="0" fontId="19" fillId="0" borderId="0" xfId="1" applyFont="1" applyBorder="1" applyAlignment="1" applyProtection="1">
      <alignment vertical="center"/>
      <protection locked="0"/>
    </xf>
    <xf numFmtId="166" fontId="19" fillId="0" borderId="0" xfId="1" applyNumberFormat="1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 applyProtection="1">
      <alignment vertical="center"/>
      <protection locked="0"/>
    </xf>
    <xf numFmtId="0" fontId="3" fillId="0" borderId="0" xfId="1" applyFont="1" applyBorder="1" applyAlignment="1" applyProtection="1">
      <alignment vertical="center" wrapText="1"/>
      <protection locked="0"/>
    </xf>
    <xf numFmtId="164" fontId="3" fillId="0" borderId="4" xfId="1" applyNumberFormat="1" applyFont="1" applyBorder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vertical="center" wrapText="1"/>
      <protection locked="0"/>
    </xf>
    <xf numFmtId="164" fontId="20" fillId="0" borderId="5" xfId="1" applyNumberFormat="1" applyFont="1" applyBorder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vertical="center"/>
      <protection locked="0"/>
    </xf>
    <xf numFmtId="0" fontId="3" fillId="0" borderId="0" xfId="1" applyNumberFormat="1" applyFont="1" applyFill="1" applyBorder="1" applyAlignment="1" applyProtection="1">
      <alignment vertical="center"/>
      <protection locked="0"/>
    </xf>
    <xf numFmtId="0" fontId="3" fillId="0" borderId="0" xfId="1" applyNumberFormat="1" applyFont="1" applyBorder="1" applyAlignment="1" applyProtection="1">
      <alignment vertical="center"/>
      <protection locked="0"/>
    </xf>
    <xf numFmtId="0" fontId="13" fillId="0" borderId="0" xfId="1" applyNumberFormat="1" applyFont="1" applyBorder="1" applyAlignment="1" applyProtection="1">
      <alignment vertical="center"/>
      <protection locked="0"/>
    </xf>
    <xf numFmtId="0" fontId="21" fillId="6" borderId="1" xfId="1" applyFont="1" applyFill="1" applyBorder="1" applyAlignment="1" applyProtection="1">
      <alignment horizontal="center" vertical="center" wrapText="1"/>
      <protection locked="0"/>
    </xf>
    <xf numFmtId="0" fontId="21" fillId="6" borderId="6" xfId="1" applyFont="1" applyFill="1" applyBorder="1" applyAlignment="1" applyProtection="1">
      <alignment horizontal="centerContinuous" vertical="center" wrapText="1"/>
      <protection locked="0"/>
    </xf>
    <xf numFmtId="0" fontId="21" fillId="6" borderId="4" xfId="1" applyFont="1" applyFill="1" applyBorder="1" applyAlignment="1" applyProtection="1">
      <alignment horizontal="centerContinuous" vertical="center" wrapText="1"/>
      <protection locked="0"/>
    </xf>
    <xf numFmtId="0" fontId="23" fillId="6" borderId="1" xfId="1" applyFont="1" applyFill="1" applyBorder="1" applyAlignment="1" applyProtection="1">
      <alignment horizontal="center" vertical="center" wrapText="1"/>
      <protection locked="0"/>
    </xf>
    <xf numFmtId="4" fontId="21" fillId="6" borderId="1" xfId="1" applyNumberFormat="1" applyFont="1" applyFill="1" applyBorder="1" applyAlignment="1" applyProtection="1">
      <alignment horizontal="center" vertical="center" wrapText="1"/>
      <protection locked="0"/>
    </xf>
    <xf numFmtId="4" fontId="25" fillId="6" borderId="1" xfId="1" applyNumberFormat="1" applyFont="1" applyFill="1" applyBorder="1" applyAlignment="1" applyProtection="1">
      <alignment horizontal="center" vertical="center" wrapText="1"/>
      <protection locked="0"/>
    </xf>
    <xf numFmtId="4" fontId="21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19" fillId="5" borderId="1" xfId="1" applyFont="1" applyFill="1" applyBorder="1" applyAlignment="1" applyProtection="1">
      <alignment horizontal="center" vertical="center" wrapText="1"/>
      <protection locked="0"/>
    </xf>
    <xf numFmtId="4" fontId="26" fillId="5" borderId="1" xfId="1" applyNumberFormat="1" applyFont="1" applyFill="1" applyBorder="1" applyAlignment="1" applyProtection="1">
      <alignment horizontal="center" vertical="center" wrapText="1"/>
      <protection locked="0"/>
    </xf>
    <xf numFmtId="4" fontId="21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21" fillId="4" borderId="1" xfId="1" applyFont="1" applyFill="1" applyBorder="1" applyAlignment="1" applyProtection="1">
      <alignment horizontal="center" vertical="center" wrapText="1"/>
      <protection locked="0"/>
    </xf>
    <xf numFmtId="1" fontId="19" fillId="6" borderId="1" xfId="1" applyNumberFormat="1" applyFont="1" applyFill="1" applyBorder="1" applyAlignment="1" applyProtection="1">
      <alignment horizontal="center" vertical="center" wrapText="1"/>
      <protection locked="0"/>
    </xf>
    <xf numFmtId="0" fontId="19" fillId="6" borderId="1" xfId="1" applyFont="1" applyFill="1" applyBorder="1" applyAlignment="1" applyProtection="1">
      <alignment horizontal="center" vertical="center" wrapText="1"/>
      <protection locked="0"/>
    </xf>
    <xf numFmtId="0" fontId="19" fillId="0" borderId="0" xfId="1" applyFont="1" applyBorder="1" applyAlignment="1" applyProtection="1">
      <alignment horizontal="center" vertical="center"/>
      <protection locked="0"/>
    </xf>
    <xf numFmtId="0" fontId="19" fillId="6" borderId="1" xfId="1" applyFont="1" applyFill="1" applyBorder="1" applyAlignment="1" applyProtection="1">
      <alignment horizontal="center" vertical="center"/>
      <protection locked="0"/>
    </xf>
    <xf numFmtId="0" fontId="7" fillId="0" borderId="1" xfId="2" applyFill="1" applyBorder="1" applyProtection="1"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3" fillId="0" borderId="1" xfId="1" applyNumberFormat="1" applyFont="1" applyBorder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left"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  <protection locked="0"/>
    </xf>
    <xf numFmtId="0" fontId="3" fillId="9" borderId="1" xfId="1" applyNumberFormat="1" applyFont="1" applyFill="1" applyBorder="1" applyAlignment="1" applyProtection="1">
      <alignment horizontal="center" vertical="center"/>
    </xf>
    <xf numFmtId="0" fontId="3" fillId="9" borderId="1" xfId="1" applyNumberFormat="1" applyFont="1" applyFill="1" applyBorder="1" applyAlignment="1" applyProtection="1">
      <alignment horizontal="center" vertical="center" wrapText="1"/>
    </xf>
    <xf numFmtId="164" fontId="3" fillId="9" borderId="1" xfId="1" applyNumberFormat="1" applyFont="1" applyFill="1" applyBorder="1" applyAlignment="1" applyProtection="1">
      <alignment vertical="center"/>
    </xf>
    <xf numFmtId="164" fontId="3" fillId="10" borderId="1" xfId="1" applyNumberFormat="1" applyFont="1" applyFill="1" applyBorder="1" applyAlignment="1" applyProtection="1">
      <alignment vertical="center"/>
    </xf>
    <xf numFmtId="164" fontId="3" fillId="0" borderId="1" xfId="1" applyNumberFormat="1" applyFont="1" applyFill="1" applyBorder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vertical="center" wrapText="1"/>
      <protection locked="0"/>
    </xf>
    <xf numFmtId="0" fontId="3" fillId="0" borderId="1" xfId="1" applyNumberFormat="1" applyFont="1" applyFill="1" applyBorder="1" applyAlignment="1" applyProtection="1">
      <alignment vertical="center"/>
    </xf>
    <xf numFmtId="166" fontId="3" fillId="0" borderId="1" xfId="1" applyNumberFormat="1" applyFont="1" applyBorder="1" applyAlignment="1" applyProtection="1">
      <alignment horizontal="center" vertical="center"/>
      <protection locked="0"/>
    </xf>
    <xf numFmtId="0" fontId="3" fillId="9" borderId="1" xfId="1" applyFont="1" applyFill="1" applyBorder="1" applyAlignment="1" applyProtection="1">
      <alignment vertical="center" wrapText="1"/>
    </xf>
    <xf numFmtId="49" fontId="3" fillId="0" borderId="1" xfId="1" applyNumberFormat="1" applyFont="1" applyBorder="1" applyAlignment="1" applyProtection="1">
      <alignment horizontal="center" vertical="center" wrapText="1"/>
      <protection locked="0"/>
    </xf>
    <xf numFmtId="167" fontId="3" fillId="0" borderId="1" xfId="1" applyNumberFormat="1" applyFont="1" applyBorder="1" applyAlignment="1" applyProtection="1">
      <alignment horizontal="right" vertical="center" wrapText="1"/>
      <protection locked="0"/>
    </xf>
    <xf numFmtId="14" fontId="3" fillId="0" borderId="1" xfId="1" applyNumberFormat="1" applyFont="1" applyBorder="1" applyAlignment="1" applyProtection="1">
      <alignment vertical="center" wrapText="1"/>
      <protection locked="0"/>
    </xf>
    <xf numFmtId="0" fontId="3" fillId="0" borderId="0" xfId="1" applyFont="1" applyBorder="1" applyAlignment="1" applyProtection="1">
      <alignment vertical="center"/>
    </xf>
    <xf numFmtId="164" fontId="3" fillId="0" borderId="1" xfId="1" applyNumberFormat="1" applyFont="1" applyFill="1" applyBorder="1" applyAlignment="1" applyProtection="1">
      <alignment vertical="center"/>
    </xf>
    <xf numFmtId="14" fontId="3" fillId="9" borderId="1" xfId="1" applyNumberFormat="1" applyFont="1" applyFill="1" applyBorder="1" applyAlignment="1" applyProtection="1">
      <alignment vertical="center" wrapText="1"/>
    </xf>
    <xf numFmtId="164" fontId="3" fillId="11" borderId="1" xfId="1" applyNumberFormat="1" applyFont="1" applyFill="1" applyBorder="1" applyAlignment="1" applyProtection="1">
      <alignment vertical="center"/>
    </xf>
    <xf numFmtId="0" fontId="3" fillId="11" borderId="1" xfId="1" applyFont="1" applyFill="1" applyBorder="1" applyAlignment="1" applyProtection="1">
      <alignment vertical="center"/>
    </xf>
    <xf numFmtId="0" fontId="3" fillId="0" borderId="1" xfId="1" applyFont="1" applyFill="1" applyBorder="1" applyAlignment="1" applyProtection="1">
      <alignment vertical="center" wrapText="1"/>
      <protection locked="0"/>
    </xf>
    <xf numFmtId="166" fontId="3" fillId="0" borderId="1" xfId="1" applyNumberFormat="1" applyFont="1" applyBorder="1" applyAlignment="1" applyProtection="1">
      <alignment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vertical="center" wrapText="1"/>
      <protection locked="0"/>
    </xf>
    <xf numFmtId="49" fontId="3" fillId="0" borderId="1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vertical="center"/>
    </xf>
    <xf numFmtId="0" fontId="7" fillId="0" borderId="0" xfId="1" applyFont="1" applyAlignment="1" applyProtection="1">
      <protection locked="0"/>
    </xf>
    <xf numFmtId="0" fontId="9" fillId="0" borderId="1" xfId="1" applyFont="1" applyBorder="1" applyAlignment="1" applyProtection="1">
      <alignment vertical="center" wrapText="1"/>
      <protection locked="0"/>
    </xf>
    <xf numFmtId="14" fontId="3" fillId="0" borderId="1" xfId="1" applyNumberFormat="1" applyFont="1" applyBorder="1" applyAlignment="1" applyProtection="1">
      <alignment vertical="center"/>
      <protection locked="0"/>
    </xf>
    <xf numFmtId="0" fontId="13" fillId="0" borderId="0" xfId="2" applyFont="1" applyBorder="1" applyProtection="1">
      <protection locked="0"/>
    </xf>
    <xf numFmtId="0" fontId="13" fillId="0" borderId="0" xfId="2" applyFont="1" applyBorder="1" applyAlignment="1" applyProtection="1">
      <alignment wrapText="1"/>
      <protection locked="0"/>
    </xf>
    <xf numFmtId="0" fontId="13" fillId="0" borderId="0" xfId="2" applyFont="1" applyBorder="1" applyProtection="1"/>
    <xf numFmtId="164" fontId="13" fillId="0" borderId="0" xfId="2" applyNumberFormat="1" applyFont="1" applyBorder="1" applyProtection="1"/>
    <xf numFmtId="0" fontId="13" fillId="0" borderId="0" xfId="2" applyFont="1" applyProtection="1">
      <protection locked="0"/>
    </xf>
    <xf numFmtId="0" fontId="13" fillId="0" borderId="0" xfId="2" applyFont="1" applyProtection="1"/>
    <xf numFmtId="0" fontId="13" fillId="0" borderId="0" xfId="2" applyFont="1" applyAlignment="1" applyProtection="1">
      <alignment wrapText="1"/>
      <protection locked="0"/>
    </xf>
    <xf numFmtId="164" fontId="13" fillId="0" borderId="0" xfId="2" applyNumberFormat="1" applyFont="1" applyProtection="1"/>
    <xf numFmtId="164" fontId="13" fillId="0" borderId="0" xfId="2" applyNumberFormat="1" applyFont="1" applyProtection="1">
      <protection locked="0"/>
    </xf>
    <xf numFmtId="0" fontId="13" fillId="0" borderId="0" xfId="2" applyFont="1" applyAlignment="1" applyProtection="1">
      <alignment wrapText="1"/>
    </xf>
    <xf numFmtId="0" fontId="13" fillId="0" borderId="0" xfId="2" applyFont="1" applyAlignment="1" applyProtection="1">
      <alignment horizontal="right"/>
    </xf>
    <xf numFmtId="0" fontId="13" fillId="0" borderId="2" xfId="2" applyFont="1" applyBorder="1" applyProtection="1"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0" xfId="1" applyFont="1" applyAlignment="1" applyProtection="1">
      <alignment horizontal="left" vertical="center"/>
    </xf>
    <xf numFmtId="0" fontId="27" fillId="0" borderId="0" xfId="1" applyFont="1" applyAlignment="1" applyProtection="1">
      <alignment vertical="center"/>
    </xf>
    <xf numFmtId="0" fontId="0" fillId="0" borderId="0" xfId="1" applyFont="1" applyAlignment="1" applyProtection="1">
      <alignment vertical="center"/>
    </xf>
    <xf numFmtId="0" fontId="3" fillId="0" borderId="0" xfId="1" applyFont="1" applyFill="1" applyAlignment="1" applyProtection="1">
      <alignment vertical="center"/>
    </xf>
    <xf numFmtId="4" fontId="3" fillId="0" borderId="0" xfId="1" applyNumberFormat="1" applyFont="1" applyAlignment="1" applyProtection="1">
      <alignment vertical="center"/>
    </xf>
    <xf numFmtId="0" fontId="27" fillId="0" borderId="3" xfId="1" applyFont="1" applyBorder="1" applyAlignment="1" applyProtection="1">
      <alignment horizontal="center" vertical="center"/>
      <protection locked="0"/>
    </xf>
    <xf numFmtId="0" fontId="21" fillId="4" borderId="1" xfId="1" applyFont="1" applyFill="1" applyBorder="1" applyAlignment="1" applyProtection="1">
      <alignment horizontal="center" vertical="center" wrapText="1"/>
      <protection locked="0"/>
    </xf>
    <xf numFmtId="0" fontId="23" fillId="6" borderId="1" xfId="1" applyFont="1" applyFill="1" applyBorder="1" applyAlignment="1" applyProtection="1">
      <alignment horizontal="center" vertical="center"/>
      <protection locked="0"/>
    </xf>
    <xf numFmtId="0" fontId="21" fillId="5" borderId="8" xfId="1" applyFont="1" applyFill="1" applyBorder="1" applyAlignment="1" applyProtection="1">
      <alignment horizontal="center" vertical="center" wrapText="1"/>
      <protection locked="0"/>
    </xf>
    <xf numFmtId="0" fontId="21" fillId="5" borderId="9" xfId="1" applyFont="1" applyFill="1" applyBorder="1" applyAlignment="1" applyProtection="1">
      <alignment horizontal="center" vertical="center" wrapText="1"/>
      <protection locked="0"/>
    </xf>
    <xf numFmtId="49" fontId="11" fillId="5" borderId="1" xfId="1" applyNumberFormat="1" applyFont="1" applyFill="1" applyBorder="1" applyAlignment="1" applyProtection="1">
      <alignment horizontal="center" vertical="center" wrapText="1"/>
      <protection locked="0"/>
    </xf>
    <xf numFmtId="0" fontId="21" fillId="8" borderId="1" xfId="1" applyFont="1" applyFill="1" applyBorder="1" applyAlignment="1" applyProtection="1">
      <alignment horizontal="center" vertical="center" wrapText="1"/>
      <protection locked="0"/>
    </xf>
    <xf numFmtId="0" fontId="19" fillId="5" borderId="1" xfId="1" applyFont="1" applyFill="1" applyBorder="1" applyAlignment="1" applyProtection="1">
      <alignment horizontal="center" vertical="center" wrapText="1"/>
      <protection locked="0"/>
    </xf>
    <xf numFmtId="0" fontId="24" fillId="5" borderId="1" xfId="1" applyFont="1" applyFill="1" applyBorder="1" applyAlignment="1" applyProtection="1">
      <alignment horizontal="center" vertical="center" wrapText="1"/>
      <protection locked="0"/>
    </xf>
    <xf numFmtId="0" fontId="19" fillId="5" borderId="6" xfId="1" applyFont="1" applyFill="1" applyBorder="1" applyAlignment="1" applyProtection="1">
      <alignment horizontal="center" vertical="center" wrapText="1"/>
      <protection locked="0"/>
    </xf>
    <xf numFmtId="0" fontId="19" fillId="5" borderId="7" xfId="1" applyFont="1" applyFill="1" applyBorder="1" applyAlignment="1" applyProtection="1">
      <alignment horizontal="center" vertical="center" wrapText="1"/>
      <protection locked="0"/>
    </xf>
    <xf numFmtId="0" fontId="19" fillId="5" borderId="4" xfId="1" applyFont="1" applyFill="1" applyBorder="1" applyAlignment="1" applyProtection="1">
      <alignment horizontal="center" vertical="center" wrapText="1"/>
      <protection locked="0"/>
    </xf>
    <xf numFmtId="0" fontId="21" fillId="5" borderId="1" xfId="1" applyFont="1" applyFill="1" applyBorder="1" applyAlignment="1" applyProtection="1">
      <alignment horizontal="center" vertical="center" wrapText="1"/>
      <protection locked="0"/>
    </xf>
    <xf numFmtId="0" fontId="21" fillId="6" borderId="1" xfId="1" applyFont="1" applyFill="1" applyBorder="1" applyAlignment="1" applyProtection="1">
      <alignment horizontal="center" vertical="center" wrapText="1"/>
      <protection locked="0"/>
    </xf>
    <xf numFmtId="0" fontId="21" fillId="7" borderId="1" xfId="1" applyFont="1" applyFill="1" applyBorder="1" applyAlignment="1" applyProtection="1">
      <alignment horizontal="center" vertical="center" wrapText="1"/>
      <protection locked="0"/>
    </xf>
    <xf numFmtId="0" fontId="21" fillId="6" borderId="6" xfId="1" applyFont="1" applyFill="1" applyBorder="1" applyAlignment="1" applyProtection="1">
      <alignment horizontal="center" vertical="center" wrapText="1"/>
      <protection locked="0"/>
    </xf>
    <xf numFmtId="0" fontId="21" fillId="6" borderId="7" xfId="1" applyFont="1" applyFill="1" applyBorder="1" applyAlignment="1" applyProtection="1">
      <alignment horizontal="center" vertical="center" wrapText="1"/>
      <protection locked="0"/>
    </xf>
    <xf numFmtId="0" fontId="21" fillId="6" borderId="4" xfId="1" applyFont="1" applyFill="1" applyBorder="1" applyAlignment="1" applyProtection="1">
      <alignment horizontal="center" vertical="center" wrapText="1"/>
      <protection locked="0"/>
    </xf>
    <xf numFmtId="0" fontId="19" fillId="6" borderId="1" xfId="1" applyFont="1" applyFill="1" applyBorder="1" applyAlignment="1" applyProtection="1">
      <alignment horizontal="center" vertical="center" wrapText="1"/>
      <protection locked="0"/>
    </xf>
  </cellXfs>
  <cellStyles count="3">
    <cellStyle name="0_Инв" xfId="1"/>
    <cellStyle name="Обычный" xfId="0" builtinId="0"/>
    <cellStyle name="Обычный 2" xfId="2"/>
  </cellStyles>
  <dxfs count="134">
    <dxf>
      <font>
        <b/>
        <i/>
        <color rgb="FFC0C0C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b/>
        <i val="0"/>
        <color rgb="FFFF0000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 tint="0.39994506668294322"/>
      </font>
    </dxf>
    <dxf>
      <font>
        <b/>
        <i val="0"/>
        <color rgb="FF00B050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  <border>
        <left/>
        <right/>
        <top/>
        <bottom/>
      </border>
    </dxf>
    <dxf>
      <font>
        <color theme="0" tint="0.79998168889431442"/>
      </font>
      <border>
        <left/>
        <right/>
        <top/>
        <bottom/>
      </border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theme="0" tint="0.79998168889431442"/>
      </font>
    </dxf>
    <dxf>
      <font>
        <color theme="0" tint="0.79998168889431442"/>
      </font>
    </dxf>
    <dxf>
      <font>
        <color theme="0" tint="0.79998168889431442"/>
      </font>
      <border>
        <left/>
        <right/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color rgb="FFFFFF00"/>
      </font>
      <fill>
        <patternFill>
          <bgColor rgb="FFFF0000"/>
        </patternFill>
      </fill>
    </dxf>
    <dxf>
      <font>
        <color rgb="FF777777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X129"/>
  <sheetViews>
    <sheetView tabSelected="1" topLeftCell="AN1" zoomScale="70" zoomScaleNormal="70" workbookViewId="0">
      <selection activeCell="AU18" sqref="AU18"/>
    </sheetView>
  </sheetViews>
  <sheetFormatPr defaultColWidth="9.140625" defaultRowHeight="15" outlineLevelCol="1" x14ac:dyDescent="0.25"/>
  <cols>
    <col min="1" max="1" width="6.28515625" style="6" customWidth="1"/>
    <col min="2" max="2" width="15" style="6" customWidth="1"/>
    <col min="3" max="3" width="10.28515625" style="6" customWidth="1"/>
    <col min="4" max="4" width="7.42578125" style="107" customWidth="1"/>
    <col min="5" max="5" width="14.5703125" style="95" customWidth="1"/>
    <col min="6" max="6" width="13.85546875" style="128" customWidth="1"/>
    <col min="7" max="7" width="13.85546875" style="107" customWidth="1"/>
    <col min="8" max="9" width="13.85546875" style="6" customWidth="1"/>
    <col min="10" max="10" width="16" style="127" customWidth="1"/>
    <col min="11" max="11" width="13.85546875" style="107" customWidth="1"/>
    <col min="12" max="13" width="14.140625" style="6" customWidth="1"/>
    <col min="14" max="19" width="6.42578125" style="6" hidden="1" customWidth="1" outlineLevel="1"/>
    <col min="20" max="20" width="19.42578125" style="107" customWidth="1" collapsed="1"/>
    <col min="21" max="21" width="19.42578125" style="107" customWidth="1"/>
    <col min="22" max="22" width="50.5703125" style="8" customWidth="1"/>
    <col min="23" max="23" width="18" style="6" customWidth="1"/>
    <col min="24" max="24" width="7.42578125" style="107" customWidth="1"/>
    <col min="25" max="25" width="18" style="6" customWidth="1"/>
    <col min="26" max="26" width="7" style="107" customWidth="1"/>
    <col min="27" max="27" width="9.7109375" style="6" customWidth="1"/>
    <col min="28" max="28" width="26.85546875" style="107" customWidth="1"/>
    <col min="29" max="31" width="14.85546875" style="107" customWidth="1"/>
    <col min="32" max="32" width="23.42578125" style="47" customWidth="1"/>
    <col min="33" max="45" width="28.7109375" style="47" customWidth="1"/>
    <col min="46" max="46" width="27.5703125" style="47" customWidth="1"/>
    <col min="47" max="47" width="25.28515625" style="47" customWidth="1"/>
    <col min="48" max="48" width="5.28515625" style="6" customWidth="1"/>
    <col min="49" max="50" width="6.85546875" style="107" customWidth="1"/>
    <col min="51" max="52" width="5.85546875" style="107" customWidth="1"/>
    <col min="53" max="53" width="5.28515625" style="107" customWidth="1"/>
    <col min="54" max="55" width="18.28515625" style="107" customWidth="1"/>
    <col min="56" max="56" width="9.42578125" style="95" customWidth="1"/>
    <col min="57" max="57" width="11.28515625" style="95" customWidth="1"/>
    <col min="58" max="58" width="36.7109375" style="8" customWidth="1"/>
    <col min="59" max="59" width="11.5703125" style="95" customWidth="1"/>
    <col min="60" max="60" width="9.42578125" style="47" customWidth="1"/>
    <col min="61" max="61" width="13.7109375" style="107" customWidth="1"/>
    <col min="62" max="62" width="15.140625" style="107" customWidth="1"/>
    <col min="63" max="64" width="16.140625" style="6" customWidth="1" outlineLevel="1"/>
    <col min="65" max="65" width="21.28515625" style="107" customWidth="1" outlineLevel="1"/>
    <col min="66" max="66" width="9" style="107" customWidth="1" outlineLevel="1"/>
    <col min="67" max="67" width="21.28515625" style="107" customWidth="1" outlineLevel="1"/>
    <col min="68" max="68" width="8.7109375" style="107" customWidth="1" outlineLevel="1"/>
    <col min="69" max="69" width="16.42578125" style="6" customWidth="1"/>
    <col min="70" max="70" width="17" style="6" customWidth="1"/>
    <col min="71" max="71" width="16.140625" style="6" customWidth="1"/>
    <col min="72" max="72" width="14.5703125" style="6" customWidth="1"/>
    <col min="73" max="73" width="15.140625" style="107" customWidth="1"/>
    <col min="74" max="75" width="16.42578125" style="107" customWidth="1"/>
    <col min="76" max="76" width="18.140625" style="107" customWidth="1"/>
    <col min="77" max="77" width="58.140625" style="8" customWidth="1"/>
    <col min="78" max="79" width="16.42578125" style="107" customWidth="1"/>
    <col min="80" max="80" width="9.42578125" style="47" customWidth="1"/>
    <col min="81" max="81" width="32.28515625" style="8" customWidth="1"/>
    <col min="82" max="83" width="15.85546875" style="6" customWidth="1"/>
    <col min="84" max="84" width="14.28515625" style="107" customWidth="1"/>
    <col min="85" max="85" width="18.140625" style="107" customWidth="1"/>
    <col min="86" max="86" width="13.5703125" style="107" customWidth="1"/>
    <col min="87" max="87" width="18.140625" style="107" customWidth="1"/>
    <col min="88" max="90" width="3" style="6" customWidth="1"/>
    <col min="91" max="94" width="8.7109375" style="6" customWidth="1"/>
    <col min="95" max="95" width="8.7109375" style="39" customWidth="1"/>
    <col min="96" max="96" width="8.7109375" style="6" customWidth="1"/>
    <col min="97" max="97" width="8.7109375" style="18" customWidth="1"/>
    <col min="98" max="98" width="8.140625" style="6" customWidth="1"/>
    <col min="99" max="99" width="37.85546875" style="47" bestFit="1" customWidth="1"/>
    <col min="100" max="100" width="18" style="6" bestFit="1" customWidth="1"/>
    <col min="101" max="101" width="10.5703125" style="6" bestFit="1" customWidth="1"/>
    <col min="102" max="102" width="18.85546875" style="6" bestFit="1" customWidth="1"/>
    <col min="103" max="103" width="10.5703125" style="6" bestFit="1" customWidth="1"/>
    <col min="104" max="104" width="16.7109375" style="6" bestFit="1" customWidth="1"/>
    <col min="105" max="106" width="10.5703125" style="6" bestFit="1" customWidth="1"/>
    <col min="107" max="107" width="10.5703125" style="6" customWidth="1"/>
    <col min="108" max="108" width="11.28515625" style="6" bestFit="1" customWidth="1"/>
    <col min="109" max="109" width="13.42578125" style="6" bestFit="1" customWidth="1"/>
    <col min="110" max="111" width="11.5703125" style="6" bestFit="1" customWidth="1"/>
    <col min="112" max="112" width="11.5703125" style="6" customWidth="1"/>
    <col min="113" max="113" width="25.85546875" style="6" bestFit="1" customWidth="1"/>
    <col min="114" max="114" width="24.5703125" style="6" bestFit="1" customWidth="1"/>
    <col min="115" max="115" width="25.28515625" style="6" bestFit="1" customWidth="1"/>
    <col min="116" max="116" width="24" style="6" bestFit="1" customWidth="1"/>
    <col min="117" max="117" width="26.85546875" style="5" bestFit="1" customWidth="1"/>
    <col min="118" max="118" width="25.5703125" style="6" bestFit="1" customWidth="1"/>
    <col min="119" max="119" width="11.5703125" style="47" bestFit="1" customWidth="1"/>
    <col min="120" max="120" width="16.5703125" style="47" bestFit="1" customWidth="1"/>
    <col min="121" max="121" width="15.7109375" style="47" bestFit="1" customWidth="1"/>
    <col min="122" max="122" width="11.5703125" style="47" bestFit="1" customWidth="1"/>
    <col min="123" max="123" width="26.5703125" style="47" bestFit="1" customWidth="1"/>
    <col min="124" max="124" width="15.7109375" style="47" bestFit="1" customWidth="1"/>
    <col min="125" max="125" width="14.7109375" style="47" bestFit="1" customWidth="1"/>
    <col min="126" max="16384" width="9.140625" style="6"/>
  </cols>
  <sheetData>
    <row r="1" spans="1:128" ht="15.75" x14ac:dyDescent="0.2">
      <c r="A1" s="1" t="s">
        <v>0</v>
      </c>
      <c r="B1" s="1"/>
      <c r="C1" s="2">
        <f>'[3]Отчет по результатам'!$C1</f>
        <v>0</v>
      </c>
      <c r="D1" s="3"/>
      <c r="E1" s="4">
        <f>IF(C1="","введите наименование филиала",0)</f>
        <v>0</v>
      </c>
      <c r="F1" s="5"/>
      <c r="G1" s="6"/>
      <c r="J1" s="6"/>
      <c r="K1" s="6"/>
      <c r="L1" s="7">
        <f>IF(L$14="","если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0</v>
      </c>
      <c r="M1" s="7"/>
      <c r="N1" s="7" t="str">
        <f>IF(N$14="","если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O1" s="7"/>
      <c r="P1" s="7"/>
      <c r="Q1" s="7"/>
      <c r="T1" s="6"/>
      <c r="U1" s="7"/>
      <c r="X1" s="6"/>
      <c r="Z1" s="6"/>
      <c r="AB1" s="4"/>
      <c r="AC1" s="6"/>
      <c r="AD1" s="6"/>
      <c r="AE1" s="6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W1" s="6"/>
      <c r="AX1" s="6"/>
      <c r="AY1" s="6"/>
      <c r="AZ1" s="6"/>
      <c r="BA1" s="6"/>
      <c r="BB1" s="6"/>
      <c r="BC1" s="6"/>
      <c r="BD1" s="9"/>
      <c r="BE1" s="9"/>
      <c r="BG1" s="9"/>
      <c r="BH1" s="9"/>
      <c r="BI1" s="6"/>
      <c r="BJ1" s="6"/>
      <c r="BM1" s="6"/>
      <c r="BN1" s="6"/>
      <c r="BO1" s="6"/>
      <c r="BP1" s="6"/>
      <c r="BU1" s="6"/>
      <c r="BV1" s="6"/>
      <c r="BW1" s="6"/>
      <c r="BX1" s="6"/>
      <c r="BZ1" s="6"/>
      <c r="CA1" s="6"/>
      <c r="CB1" s="9"/>
      <c r="CF1" s="6"/>
      <c r="CG1" s="6"/>
      <c r="CH1" s="6"/>
      <c r="CI1" s="6"/>
      <c r="CK1" s="10"/>
      <c r="CL1" s="10"/>
      <c r="CM1" s="10"/>
      <c r="CN1" s="10"/>
      <c r="CO1" s="10"/>
      <c r="CP1" s="10"/>
      <c r="CQ1" s="10"/>
      <c r="CR1" s="10"/>
      <c r="CS1" s="10"/>
      <c r="CT1" s="11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X1" s="13">
        <v>456</v>
      </c>
    </row>
    <row r="2" spans="1:128" ht="15.75" x14ac:dyDescent="0.2">
      <c r="A2" s="1" t="s">
        <v>1</v>
      </c>
      <c r="B2" s="1"/>
      <c r="C2" s="14" t="str">
        <f>'[3]Отчет по результатам'!$C$3</f>
        <v>01 октября 2021</v>
      </c>
      <c r="D2" s="15"/>
      <c r="E2" s="4"/>
      <c r="F2" s="5"/>
      <c r="G2" s="6"/>
      <c r="J2" s="6"/>
      <c r="K2" s="6"/>
      <c r="L2" s="7"/>
      <c r="M2" s="7"/>
      <c r="N2" s="7"/>
      <c r="O2" s="7"/>
      <c r="P2" s="7" t="str">
        <f>IF(P$14="","если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Q2" s="7"/>
      <c r="T2" s="6"/>
      <c r="U2" s="7"/>
      <c r="X2" s="6"/>
      <c r="Z2" s="6"/>
      <c r="AB2" s="4"/>
      <c r="AC2" s="6"/>
      <c r="AD2" s="6"/>
      <c r="AE2" s="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9" t="s">
        <v>2</v>
      </c>
      <c r="AW2" s="6"/>
      <c r="AX2" s="6"/>
      <c r="AY2" s="6"/>
      <c r="AZ2" s="6"/>
      <c r="BA2" s="6"/>
      <c r="BB2" s="6"/>
      <c r="BC2" s="6"/>
      <c r="BD2" s="16"/>
      <c r="BE2" s="16"/>
      <c r="BG2" s="16"/>
      <c r="BH2" s="16"/>
      <c r="BI2" s="6"/>
      <c r="BJ2" s="6"/>
      <c r="BM2" s="6"/>
      <c r="BN2" s="6"/>
      <c r="BO2" s="17"/>
      <c r="BP2" s="17"/>
      <c r="BQ2" s="18"/>
      <c r="BR2" s="18"/>
      <c r="BS2" s="18"/>
      <c r="BT2" s="18"/>
      <c r="BU2" s="17"/>
      <c r="BV2" s="17"/>
      <c r="BW2" s="17"/>
      <c r="BX2" s="17"/>
      <c r="BY2" s="19"/>
      <c r="BZ2" s="6"/>
      <c r="CA2" s="6"/>
      <c r="CB2" s="16"/>
      <c r="CF2" s="17"/>
      <c r="CG2" s="17"/>
      <c r="CH2" s="17"/>
      <c r="CI2" s="17"/>
      <c r="CK2" s="10"/>
      <c r="CL2" s="10"/>
      <c r="CM2" s="10"/>
      <c r="CN2" s="10"/>
      <c r="CO2" s="10"/>
      <c r="CP2" s="10"/>
      <c r="CQ2" s="10"/>
      <c r="CR2" s="10"/>
      <c r="CS2" s="10"/>
      <c r="CT2" s="11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</row>
    <row r="3" spans="1:128" ht="15.75" x14ac:dyDescent="0.2">
      <c r="A3" s="1" t="s">
        <v>3</v>
      </c>
      <c r="B3" s="1"/>
      <c r="C3" s="20">
        <f>'[3]Отчет по результатам'!$C4</f>
        <v>0</v>
      </c>
      <c r="D3" s="21"/>
      <c r="E3" s="4">
        <f>IF(C3="", "введите дату составления",0)</f>
        <v>0</v>
      </c>
      <c r="F3" s="5"/>
      <c r="G3" s="6"/>
      <c r="J3" s="6"/>
      <c r="K3" s="6"/>
      <c r="R3" s="7" t="str">
        <f>IF(R$14="","если в шапке нет названия - закрыть группировку, т.к. заполнение графы не требуется. Если МР необходимо поле для расшифровки - использовать не запрещено",0)</f>
        <v>если в шапке нет названия - закрыть группировку, т.к. заполнение графы не требуется. Если МР необходимо поле для расшифровки - использовать не запрещено</v>
      </c>
      <c r="S3" s="7"/>
      <c r="T3" s="7"/>
      <c r="U3" s="6"/>
      <c r="X3" s="6"/>
      <c r="Z3" s="6"/>
      <c r="AB3" s="4"/>
      <c r="AC3" s="6"/>
      <c r="AD3" s="6"/>
      <c r="AE3" s="6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 t="s">
        <v>4</v>
      </c>
      <c r="AW3" s="6"/>
      <c r="AX3" s="6"/>
      <c r="AY3" s="6"/>
      <c r="AZ3" s="6"/>
      <c r="BA3" s="6"/>
      <c r="BB3" s="6"/>
      <c r="BC3" s="6"/>
      <c r="BD3" s="9"/>
      <c r="BE3" s="9"/>
      <c r="BG3" s="9"/>
      <c r="BH3" s="9"/>
      <c r="BI3" s="6"/>
      <c r="BJ3" s="6"/>
      <c r="BM3" s="6"/>
      <c r="BN3" s="6"/>
      <c r="BO3" s="6"/>
      <c r="BP3" s="6"/>
      <c r="BU3" s="6"/>
      <c r="BV3" s="6"/>
      <c r="BW3" s="6"/>
      <c r="BX3" s="6"/>
      <c r="BZ3" s="6"/>
      <c r="CA3" s="6"/>
      <c r="CB3" s="9"/>
      <c r="CF3" s="6"/>
      <c r="CG3" s="6"/>
      <c r="CH3" s="6"/>
      <c r="CI3" s="6"/>
      <c r="CK3" s="10"/>
      <c r="CL3" s="10"/>
      <c r="CM3" s="10"/>
      <c r="CN3" s="10"/>
      <c r="CO3" s="10"/>
      <c r="CP3" s="10"/>
      <c r="CQ3" s="10"/>
      <c r="CR3" s="10"/>
      <c r="CS3" s="10"/>
      <c r="CT3" s="11"/>
      <c r="CU3" s="4"/>
      <c r="CV3" s="4"/>
      <c r="CW3" s="4"/>
      <c r="CX3" s="4"/>
      <c r="CY3" s="4"/>
      <c r="CZ3" s="4"/>
      <c r="DA3" s="4"/>
      <c r="DB3" s="4"/>
      <c r="DC3" s="4"/>
      <c r="DO3" s="9"/>
      <c r="DP3" s="9"/>
      <c r="DQ3" s="9"/>
      <c r="DR3" s="9"/>
      <c r="DS3" s="9"/>
      <c r="DT3" s="9"/>
      <c r="DU3" s="9"/>
    </row>
    <row r="4" spans="1:128" ht="12.75" x14ac:dyDescent="0.2">
      <c r="D4" s="6"/>
      <c r="E4" s="22"/>
      <c r="F4" s="5"/>
      <c r="G4" s="6"/>
      <c r="J4" s="6"/>
      <c r="K4" s="6"/>
      <c r="T4" s="6"/>
      <c r="U4" s="6"/>
      <c r="X4" s="23" t="s">
        <v>5</v>
      </c>
      <c r="Z4" s="23" t="s">
        <v>6</v>
      </c>
      <c r="AB4" s="6"/>
      <c r="AC4" s="6"/>
      <c r="AD4" s="6"/>
      <c r="AE4" s="6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W4" s="23" t="s">
        <v>7</v>
      </c>
      <c r="AX4" s="23" t="s">
        <v>8</v>
      </c>
      <c r="AY4" s="23" t="s">
        <v>9</v>
      </c>
      <c r="AZ4" s="23" t="s">
        <v>10</v>
      </c>
      <c r="BA4" s="6"/>
      <c r="BB4" s="6"/>
      <c r="BC4" s="6"/>
      <c r="BD4" s="22"/>
      <c r="BE4" s="22"/>
      <c r="BG4" s="22"/>
      <c r="BH4" s="22"/>
      <c r="BI4" s="6"/>
      <c r="BJ4" s="24"/>
      <c r="BM4" s="6"/>
      <c r="BN4" s="23" t="s">
        <v>11</v>
      </c>
      <c r="BO4" s="6"/>
      <c r="BP4" s="23" t="s">
        <v>12</v>
      </c>
      <c r="BU4" s="6"/>
      <c r="BV4" s="23" t="s">
        <v>13</v>
      </c>
      <c r="BW4" s="6"/>
      <c r="BX4" s="23" t="s">
        <v>14</v>
      </c>
      <c r="BY4" s="25"/>
      <c r="BZ4" s="6"/>
      <c r="CA4" s="6"/>
      <c r="CB4" s="22"/>
      <c r="CF4" s="6"/>
      <c r="CG4" s="23" t="s">
        <v>15</v>
      </c>
      <c r="CH4" s="6"/>
      <c r="CI4" s="23" t="s">
        <v>16</v>
      </c>
      <c r="CK4" s="10"/>
      <c r="CL4" s="10"/>
      <c r="CM4" s="10"/>
      <c r="CN4" s="10"/>
      <c r="CO4" s="10"/>
      <c r="CP4" s="10"/>
      <c r="CQ4" s="10"/>
      <c r="CR4" s="10"/>
      <c r="CS4" s="23" t="s">
        <v>17</v>
      </c>
      <c r="CT4" s="11"/>
      <c r="CU4" s="22"/>
      <c r="CW4" s="4"/>
      <c r="CX4" s="4"/>
      <c r="CY4" s="4"/>
      <c r="CZ4" s="4"/>
      <c r="DA4" s="4"/>
      <c r="DO4" s="22"/>
      <c r="DP4" s="22"/>
      <c r="DQ4" s="22"/>
      <c r="DR4" s="22"/>
      <c r="DS4" s="22"/>
      <c r="DT4" s="22"/>
      <c r="DU4" s="22"/>
    </row>
    <row r="5" spans="1:128" ht="12.75" x14ac:dyDescent="0.2">
      <c r="D5" s="6"/>
      <c r="E5" s="6"/>
      <c r="F5" s="6"/>
      <c r="G5" s="6"/>
      <c r="J5" s="6"/>
      <c r="K5" s="6"/>
      <c r="T5" s="6"/>
      <c r="U5" s="6"/>
      <c r="X5" s="6"/>
      <c r="Z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W5" s="6"/>
      <c r="AX5" s="6"/>
      <c r="AY5" s="6"/>
      <c r="AZ5" s="6"/>
      <c r="BA5" s="6"/>
      <c r="BB5" s="6"/>
      <c r="BC5" s="6"/>
      <c r="BD5" s="6"/>
      <c r="BE5" s="6"/>
      <c r="BG5" s="6"/>
      <c r="BH5" s="6"/>
      <c r="BI5" s="6"/>
      <c r="BJ5" s="26"/>
      <c r="BM5" s="6"/>
      <c r="BN5" s="6"/>
      <c r="BO5" s="6"/>
      <c r="BP5" s="6"/>
      <c r="BU5" s="6"/>
      <c r="BV5" s="6"/>
      <c r="BW5" s="18"/>
      <c r="BX5" s="6"/>
      <c r="BZ5" s="6"/>
      <c r="CA5" s="6"/>
      <c r="CB5" s="6"/>
      <c r="CF5" s="6"/>
      <c r="CG5" s="6"/>
      <c r="CH5" s="6"/>
      <c r="CI5" s="6"/>
      <c r="CK5" s="10"/>
      <c r="CL5" s="10"/>
      <c r="CM5" s="10"/>
      <c r="CN5" s="10"/>
      <c r="CO5" s="10"/>
      <c r="CP5" s="10"/>
      <c r="CQ5" s="10"/>
      <c r="CR5" s="10"/>
      <c r="CS5" s="10"/>
      <c r="CT5" s="11"/>
      <c r="CU5" s="6"/>
      <c r="DD5" s="12"/>
      <c r="DE5" s="12"/>
      <c r="DF5" s="12"/>
      <c r="DG5" s="12"/>
      <c r="DH5" s="12"/>
      <c r="DI5" s="12"/>
      <c r="DJ5" s="12"/>
      <c r="DK5" s="12"/>
      <c r="DL5" s="12"/>
      <c r="DM5" s="6"/>
      <c r="DO5" s="6"/>
      <c r="DP5" s="6"/>
      <c r="DQ5" s="6"/>
      <c r="DR5" s="6"/>
      <c r="DS5" s="6"/>
      <c r="DT5" s="6"/>
      <c r="DU5" s="6"/>
    </row>
    <row r="6" spans="1:128" ht="25.5" x14ac:dyDescent="0.2">
      <c r="D6" s="6"/>
      <c r="E6" s="6"/>
      <c r="F6" s="6"/>
      <c r="G6" s="6"/>
      <c r="J6" s="18"/>
      <c r="K6" s="6"/>
      <c r="T6" s="6"/>
      <c r="U6" s="6"/>
      <c r="X6" s="6"/>
      <c r="Z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W6" s="6"/>
      <c r="AX6" s="6"/>
      <c r="AY6" s="6"/>
      <c r="AZ6" s="6"/>
      <c r="BA6" s="6"/>
      <c r="BB6" s="6"/>
      <c r="BC6" s="6"/>
      <c r="BD6" s="6"/>
      <c r="BE6" s="6"/>
      <c r="BG6" s="6"/>
      <c r="BH6" s="6"/>
      <c r="BI6" s="6"/>
      <c r="BJ6" s="26" t="s">
        <v>18</v>
      </c>
      <c r="BM6" s="6"/>
      <c r="BN6" s="27">
        <f>COUNTIF(BN17:BN65430,BJ6)</f>
        <v>0</v>
      </c>
      <c r="BO6" s="6"/>
      <c r="BP6" s="27">
        <f>COUNTIF(BP17:BP65430,BJ6)</f>
        <v>0</v>
      </c>
      <c r="BS6" s="26" t="s">
        <v>19</v>
      </c>
      <c r="BU6" s="6"/>
      <c r="BV6" s="28">
        <f>COUNTIF(BV17:BV65430,$BS6)</f>
        <v>0</v>
      </c>
      <c r="BW6" s="18"/>
      <c r="BX6" s="28">
        <f>COUNTIF(BX17:BX65430,$BS6)</f>
        <v>0</v>
      </c>
      <c r="BY6" s="29"/>
      <c r="BZ6" s="6"/>
      <c r="CA6" s="6"/>
      <c r="CB6" s="6"/>
      <c r="CC6" s="30" t="s">
        <v>20</v>
      </c>
      <c r="CE6" s="31"/>
      <c r="CF6" s="6"/>
      <c r="CG6" s="27">
        <f>COUNTIF(CG17:CG65430,"!!!сумма к списанию больше суммы сальдо")</f>
        <v>0</v>
      </c>
      <c r="CH6" s="6"/>
      <c r="CI6" s="27">
        <f>COUNTIF(CI17:CI65430,"!!!сумма к списанию больше суммы сальдо")</f>
        <v>0</v>
      </c>
      <c r="CK6" s="10"/>
      <c r="CL6" s="10"/>
      <c r="CM6" s="10"/>
      <c r="CN6" s="10"/>
      <c r="CO6" s="10"/>
      <c r="CP6" s="10"/>
      <c r="CQ6" s="10"/>
      <c r="CR6" s="10"/>
      <c r="CS6" s="10"/>
      <c r="CT6" s="11"/>
      <c r="CU6" s="32" t="s">
        <v>21</v>
      </c>
      <c r="CV6" s="32"/>
      <c r="DM6" s="6"/>
      <c r="DO6" s="6"/>
      <c r="DP6" s="6"/>
      <c r="DQ6" s="6"/>
      <c r="DR6" s="6"/>
      <c r="DS6" s="6"/>
      <c r="DT6" s="6"/>
      <c r="DU6" s="6"/>
    </row>
    <row r="7" spans="1:128" ht="25.5" x14ac:dyDescent="0.2">
      <c r="A7" s="33" t="str">
        <f>"Отчет по результатам инвентаризации по расчету с бюджетом и внебюджетными фондами по состоянию на "&amp;'[3]Отчет по результатам'!$C$3&amp;""</f>
        <v>Отчет по результатам инвентаризации по расчету с бюджетом и внебюджетными фондами по состоянию на 01 октября 2021</v>
      </c>
      <c r="B7" s="34"/>
      <c r="C7" s="34"/>
      <c r="D7" s="34"/>
      <c r="E7" s="34"/>
      <c r="F7" s="34"/>
      <c r="G7" s="34"/>
      <c r="H7" s="34"/>
      <c r="I7" s="34"/>
      <c r="J7" s="18"/>
      <c r="K7" s="6"/>
      <c r="L7" s="35"/>
      <c r="M7" s="35"/>
      <c r="N7" s="35"/>
      <c r="O7" s="35"/>
      <c r="T7" s="6"/>
      <c r="U7" s="6"/>
      <c r="W7" s="36"/>
      <c r="X7" s="36"/>
      <c r="Y7" s="36"/>
      <c r="Z7" s="36"/>
      <c r="AB7" s="6"/>
      <c r="AC7" s="6"/>
      <c r="AD7" s="6"/>
      <c r="AE7" s="6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W7" s="6"/>
      <c r="AX7" s="6"/>
      <c r="AY7" s="6"/>
      <c r="AZ7" s="6"/>
      <c r="BA7" s="6"/>
      <c r="BB7" s="6"/>
      <c r="BC7" s="6"/>
      <c r="BD7" s="34"/>
      <c r="BE7" s="34"/>
      <c r="BG7" s="34"/>
      <c r="BH7" s="34"/>
      <c r="BI7" s="6"/>
      <c r="BJ7" s="26" t="s">
        <v>22</v>
      </c>
      <c r="BM7" s="6"/>
      <c r="BN7" s="27">
        <f>COUNTIF(BN17:BN65431,"!!!есть признак просроченности, включить в списание")</f>
        <v>0</v>
      </c>
      <c r="BO7" s="6"/>
      <c r="BP7" s="27">
        <f>COUNTIF(BP17:BP65431,"!!!есть признак просроченности, включить в списание")</f>
        <v>0</v>
      </c>
      <c r="BU7" s="6"/>
      <c r="BV7" s="28" t="s">
        <v>23</v>
      </c>
      <c r="BW7" s="18"/>
      <c r="BX7" s="28" t="s">
        <v>23</v>
      </c>
      <c r="BY7" s="29"/>
      <c r="BZ7" s="6"/>
      <c r="CA7" s="6"/>
      <c r="CB7" s="34"/>
      <c r="CC7" s="30" t="s">
        <v>22</v>
      </c>
      <c r="CF7" s="6"/>
      <c r="CG7" s="27">
        <f>COUNTIF(CG17:CG65431,"!!!есть признак просроченности, включить в списание")</f>
        <v>0</v>
      </c>
      <c r="CH7" s="6"/>
      <c r="CI7" s="27">
        <f>COUNTIF(CI17:CI65431,"!!!есть признак просроченности, включить в списание")</f>
        <v>0</v>
      </c>
      <c r="CK7" s="10"/>
      <c r="CL7" s="10"/>
      <c r="CM7" s="10"/>
      <c r="CN7" s="10"/>
      <c r="CO7" s="10"/>
      <c r="CP7" s="10"/>
      <c r="CQ7" s="10"/>
      <c r="CR7" s="10"/>
      <c r="CS7" s="10"/>
      <c r="CT7" s="11"/>
      <c r="CU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</row>
    <row r="8" spans="1:128" ht="18.75" x14ac:dyDescent="0.25">
      <c r="A8" s="37" t="s">
        <v>24</v>
      </c>
      <c r="B8" s="38"/>
      <c r="C8" s="38"/>
      <c r="D8" s="38"/>
      <c r="E8" s="38"/>
      <c r="F8" s="10"/>
      <c r="G8" s="10"/>
      <c r="H8" s="10"/>
      <c r="I8" s="10"/>
      <c r="J8" s="10"/>
      <c r="K8" s="39"/>
      <c r="L8" s="40"/>
      <c r="M8" s="40"/>
      <c r="N8" s="39"/>
      <c r="O8" s="39"/>
      <c r="P8" s="39"/>
      <c r="Q8" s="39"/>
      <c r="R8" s="39"/>
      <c r="S8" s="39"/>
      <c r="T8" s="39"/>
      <c r="U8" s="39"/>
      <c r="W8" s="39"/>
      <c r="X8" s="39"/>
      <c r="Y8" s="39"/>
      <c r="Z8" s="39"/>
      <c r="AA8" s="39"/>
      <c r="AB8" s="6"/>
      <c r="AC8" s="39"/>
      <c r="AD8" s="39"/>
      <c r="AE8" s="39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W8" s="6"/>
      <c r="AX8" s="6"/>
      <c r="AY8" s="6"/>
      <c r="AZ8" s="6"/>
      <c r="BA8" s="6"/>
      <c r="BB8" s="6"/>
      <c r="BC8" s="6"/>
      <c r="BD8" s="41"/>
      <c r="BE8" s="41"/>
      <c r="BG8" s="41"/>
      <c r="BH8" s="41"/>
      <c r="BI8" s="6"/>
      <c r="BJ8" s="26" t="s">
        <v>25</v>
      </c>
      <c r="BM8" s="6"/>
      <c r="BN8" s="27">
        <f>COUNTIF(BN17:BN65432,"!!!сумма д.б.положительной")</f>
        <v>0</v>
      </c>
      <c r="BO8" s="6"/>
      <c r="BP8" s="27">
        <f>COUNTIF(BP17:BP65432,"!!!сумма д.б.положительной")</f>
        <v>0</v>
      </c>
      <c r="BU8" s="6"/>
      <c r="BV8" s="28" t="s">
        <v>23</v>
      </c>
      <c r="BW8" s="18"/>
      <c r="BX8" s="28" t="s">
        <v>23</v>
      </c>
      <c r="BY8" s="29"/>
      <c r="BZ8" s="6"/>
      <c r="CA8" s="6"/>
      <c r="CB8" s="41"/>
      <c r="CC8" s="30" t="s">
        <v>25</v>
      </c>
      <c r="CF8" s="6"/>
      <c r="CG8" s="27">
        <f>COUNTIF(CG17:CG65432,"!!!сумма д.б.положительной")</f>
        <v>0</v>
      </c>
      <c r="CH8" s="6"/>
      <c r="CI8" s="27">
        <f>COUNTIF(CI17:CI65432,"!!!сумма д.б.положительной")</f>
        <v>0</v>
      </c>
      <c r="CK8" s="10"/>
      <c r="CL8" s="10"/>
      <c r="CM8" s="10"/>
      <c r="CN8" s="10"/>
      <c r="CO8" s="10"/>
      <c r="CP8" s="10"/>
      <c r="CQ8" s="10"/>
      <c r="CR8" s="10"/>
      <c r="CS8" s="10"/>
      <c r="CT8" s="11"/>
      <c r="CU8" s="38"/>
      <c r="CV8" s="38"/>
      <c r="CW8" s="38"/>
      <c r="CX8" s="38"/>
      <c r="CY8" s="38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41"/>
      <c r="DP8" s="41"/>
      <c r="DQ8" s="41"/>
      <c r="DR8" s="41"/>
      <c r="DS8" s="41"/>
      <c r="DT8" s="41"/>
      <c r="DU8" s="41"/>
    </row>
    <row r="9" spans="1:128" ht="38.25" x14ac:dyDescent="0.25">
      <c r="A9" s="42" t="s">
        <v>26</v>
      </c>
      <c r="B9" s="43"/>
      <c r="C9" s="43"/>
      <c r="D9" s="43"/>
      <c r="E9" s="43"/>
      <c r="F9" s="10"/>
      <c r="G9" s="10"/>
      <c r="H9" s="10"/>
      <c r="I9" s="10"/>
      <c r="J9" s="18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W9" s="39"/>
      <c r="X9" s="23"/>
      <c r="Y9" s="39"/>
      <c r="Z9" s="23"/>
      <c r="AA9" s="39"/>
      <c r="AB9" s="6"/>
      <c r="AC9" s="39"/>
      <c r="AD9" s="39"/>
      <c r="AE9" s="39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W9" s="23"/>
      <c r="AX9" s="23"/>
      <c r="AY9" s="23"/>
      <c r="AZ9" s="23"/>
      <c r="BA9" s="6"/>
      <c r="BB9" s="6"/>
      <c r="BC9" s="6"/>
      <c r="BD9" s="44"/>
      <c r="BE9" s="44"/>
      <c r="BG9" s="44"/>
      <c r="BH9" s="44"/>
      <c r="BI9" s="6"/>
      <c r="BJ9" s="26" t="s">
        <v>27</v>
      </c>
      <c r="BM9" s="6"/>
      <c r="BN9" s="27">
        <f>COUNTIF(BN17:BN65433,"???проверить правильность указания суммы списания, т.к. она меньше сальдо")</f>
        <v>0</v>
      </c>
      <c r="BO9" s="6"/>
      <c r="BP9" s="27">
        <f>COUNTIF(BP17:BP65433,"???проверить правильность указания суммы списания, т.к. она меньше сальдо")</f>
        <v>0</v>
      </c>
      <c r="BU9" s="6"/>
      <c r="BV9" s="28" t="s">
        <v>23</v>
      </c>
      <c r="BW9" s="18"/>
      <c r="BX9" s="28" t="s">
        <v>23</v>
      </c>
      <c r="BY9" s="29"/>
      <c r="BZ9" s="6"/>
      <c r="CA9" s="6"/>
      <c r="CB9" s="44"/>
      <c r="CC9" s="30" t="s">
        <v>27</v>
      </c>
      <c r="CF9" s="6"/>
      <c r="CG9" s="27">
        <f>COUNTIF(CG17:CG65433,"???проверить правильность указания суммы списания, т.к. она меньше сальдо")</f>
        <v>0</v>
      </c>
      <c r="CH9" s="6"/>
      <c r="CI9" s="27">
        <f>COUNTIF(CI17:CI65433,"???проверить правильность указания суммы списания, т.к. она меньше сальдо")</f>
        <v>0</v>
      </c>
      <c r="CK9" s="10"/>
      <c r="CL9" s="10"/>
      <c r="CM9" s="10"/>
      <c r="CN9" s="10"/>
      <c r="CO9" s="10"/>
      <c r="CP9" s="10"/>
      <c r="CQ9" s="10"/>
      <c r="CR9" s="10"/>
      <c r="CS9" s="10"/>
      <c r="CT9" s="11"/>
      <c r="CU9" s="43"/>
      <c r="CV9" s="43"/>
      <c r="CW9" s="43"/>
      <c r="CX9" s="43"/>
      <c r="CY9" s="43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44"/>
      <c r="DP9" s="44"/>
      <c r="DQ9" s="44"/>
      <c r="DR9" s="44"/>
      <c r="DS9" s="44"/>
      <c r="DT9" s="44"/>
      <c r="DU9" s="44"/>
    </row>
    <row r="10" spans="1:128" ht="12.75" x14ac:dyDescent="0.2">
      <c r="A10" s="45"/>
      <c r="B10" s="45"/>
      <c r="C10" s="45"/>
      <c r="D10" s="45"/>
      <c r="E10" s="6"/>
      <c r="F10" s="10"/>
      <c r="G10" s="10"/>
      <c r="H10" s="45"/>
      <c r="I10" s="45"/>
      <c r="J10" s="46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W10" s="46"/>
      <c r="X10" s="6"/>
      <c r="Y10" s="46"/>
      <c r="Z10" s="6"/>
      <c r="AB10" s="41"/>
      <c r="AC10" s="6"/>
      <c r="AD10" s="6"/>
      <c r="AE10" s="6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W10" s="6"/>
      <c r="AX10" s="6"/>
      <c r="AY10" s="6"/>
      <c r="AZ10" s="6"/>
      <c r="BA10" s="6"/>
      <c r="BB10" s="6"/>
      <c r="BC10" s="6"/>
      <c r="BD10" s="41"/>
      <c r="BE10" s="41"/>
      <c r="BG10" s="41"/>
      <c r="BH10" s="41"/>
      <c r="BI10" s="6"/>
      <c r="BJ10" s="6"/>
      <c r="BM10" s="6"/>
      <c r="BN10" s="6"/>
      <c r="BO10" s="6"/>
      <c r="BP10" s="6"/>
      <c r="BU10" s="6"/>
      <c r="BV10" s="6"/>
      <c r="BW10" s="6"/>
      <c r="BX10" s="6"/>
      <c r="BZ10" s="6"/>
      <c r="CA10" s="6"/>
      <c r="CB10" s="41"/>
      <c r="CF10" s="6"/>
      <c r="CG10" s="47"/>
      <c r="CH10" s="47"/>
      <c r="CI10" s="47"/>
      <c r="CK10" s="10"/>
      <c r="CL10" s="10"/>
      <c r="CM10" s="10"/>
      <c r="CN10" s="10"/>
      <c r="CO10" s="10"/>
      <c r="CP10" s="10"/>
      <c r="CQ10" s="10"/>
      <c r="CR10" s="10"/>
      <c r="CS10" s="10"/>
      <c r="CT10" s="11"/>
      <c r="CU10" s="45"/>
      <c r="CV10" s="41"/>
      <c r="CW10" s="45"/>
      <c r="CX10" s="45"/>
      <c r="CY10" s="45"/>
      <c r="CZ10" s="45"/>
      <c r="DA10" s="45"/>
      <c r="DB10" s="45"/>
      <c r="DC10" s="45"/>
      <c r="DD10" s="48"/>
      <c r="DE10" s="48"/>
      <c r="DF10" s="48"/>
      <c r="DG10" s="48"/>
      <c r="DH10" s="48"/>
      <c r="DI10" s="48"/>
      <c r="DJ10" s="48"/>
      <c r="DK10" s="48"/>
      <c r="DL10" s="48"/>
      <c r="DM10" s="10"/>
      <c r="DN10" s="10"/>
      <c r="DO10" s="41"/>
      <c r="DP10" s="41"/>
      <c r="DQ10" s="41"/>
      <c r="DR10" s="41"/>
      <c r="DS10" s="41"/>
      <c r="DT10" s="41"/>
      <c r="DU10" s="41"/>
    </row>
    <row r="11" spans="1:128" ht="12.75" x14ac:dyDescent="0.2">
      <c r="A11" s="31" t="s">
        <v>28</v>
      </c>
      <c r="B11" s="10"/>
      <c r="C11" s="10"/>
      <c r="D11" s="10"/>
      <c r="E11" s="10"/>
      <c r="F11" s="12">
        <f t="shared" ref="F11:U11" si="0">SUBTOTAL(9,F17:F65430)</f>
        <v>0</v>
      </c>
      <c r="G11" s="12">
        <f t="shared" si="0"/>
        <v>0</v>
      </c>
      <c r="H11" s="12">
        <f t="shared" si="0"/>
        <v>0</v>
      </c>
      <c r="I11" s="12">
        <f t="shared" si="0"/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si="0"/>
        <v>0</v>
      </c>
      <c r="T11" s="12">
        <f t="shared" si="0"/>
        <v>0</v>
      </c>
      <c r="U11" s="12">
        <f t="shared" si="0"/>
        <v>0</v>
      </c>
      <c r="W11" s="12">
        <f>SUBTOTAL(9,W17:W65430)</f>
        <v>0</v>
      </c>
      <c r="X11" s="49">
        <f>SUBTOTAL(9,X17:X65430)</f>
        <v>0</v>
      </c>
      <c r="Y11" s="12">
        <f>SUBTOTAL(9,Y17:Y65430)</f>
        <v>0</v>
      </c>
      <c r="Z11" s="49">
        <f>SUBTOTAL(9,Z17:Z65430)</f>
        <v>0</v>
      </c>
      <c r="AB11" s="10"/>
      <c r="AC11" s="6"/>
      <c r="AD11" s="6"/>
      <c r="AE11" s="6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W11" s="49">
        <f>SUBTOTAL(9,AW17:AW65430)</f>
        <v>0</v>
      </c>
      <c r="AX11" s="49">
        <f>SUBTOTAL(9,AX17:AX65430)</f>
        <v>0</v>
      </c>
      <c r="AY11" s="49">
        <f>SUBTOTAL(9,AY17:AY65430)</f>
        <v>0</v>
      </c>
      <c r="AZ11" s="49">
        <f>SUBTOTAL(9,AZ17:AZ65430)</f>
        <v>0</v>
      </c>
      <c r="BA11" s="6"/>
      <c r="BB11" s="12">
        <f>SUBTOTAL(9,BB17:BB65430)</f>
        <v>0</v>
      </c>
      <c r="BC11" s="12">
        <f>SUBTOTAL(9,BC17:BC65430)</f>
        <v>0</v>
      </c>
      <c r="BD11" s="41"/>
      <c r="BE11" s="41"/>
      <c r="BG11" s="41"/>
      <c r="BH11" s="49">
        <f t="shared" ref="BH11:BM11" si="1">SUBTOTAL(9,BH17:BH65430)</f>
        <v>0</v>
      </c>
      <c r="BI11" s="12">
        <f t="shared" si="1"/>
        <v>0</v>
      </c>
      <c r="BJ11" s="12">
        <f t="shared" si="1"/>
        <v>0</v>
      </c>
      <c r="BK11" s="12">
        <f t="shared" si="1"/>
        <v>0</v>
      </c>
      <c r="BL11" s="12">
        <f t="shared" si="1"/>
        <v>0</v>
      </c>
      <c r="BM11" s="12">
        <f t="shared" si="1"/>
        <v>0</v>
      </c>
      <c r="BN11" s="47"/>
      <c r="BO11" s="12">
        <f>SUBTOTAL(9,BO17:BO65430)</f>
        <v>0</v>
      </c>
      <c r="BP11" s="47"/>
      <c r="BQ11" s="12">
        <f>SUBTOTAL(9,BQ17:BQ65430)</f>
        <v>0</v>
      </c>
      <c r="BR11" s="12">
        <f>SUBTOTAL(9,BR17:BR65430)</f>
        <v>0</v>
      </c>
      <c r="BS11" s="12">
        <f>SUBTOTAL(9,BS17:BS65430)</f>
        <v>0</v>
      </c>
      <c r="BT11" s="12">
        <f>SUBTOTAL(9,BT17:BT65430)</f>
        <v>0</v>
      </c>
      <c r="BU11" s="12">
        <f>SUBTOTAL(9,BU17:BU65430)</f>
        <v>0</v>
      </c>
      <c r="BV11" s="12"/>
      <c r="BW11" s="12">
        <f>SUBTOTAL(9,BW17:BW65430)</f>
        <v>0</v>
      </c>
      <c r="BX11" s="12"/>
      <c r="BY11" s="50"/>
      <c r="BZ11" s="12">
        <f>SUBTOTAL(9,BZ17:BZ65430)</f>
        <v>0</v>
      </c>
      <c r="CA11" s="12">
        <f>SUBTOTAL(9,CA17:CA65430)</f>
        <v>0</v>
      </c>
      <c r="CB11" s="49">
        <f>SUBTOTAL(9,CB17:CB65430)</f>
        <v>0</v>
      </c>
      <c r="CD11" s="12">
        <f>SUBTOTAL(9,CD17:CD65430)</f>
        <v>0</v>
      </c>
      <c r="CE11" s="12">
        <f>SUBTOTAL(9,CE17:CE65430)</f>
        <v>0</v>
      </c>
      <c r="CF11" s="12">
        <f>SUBTOTAL(9,CF17:CF65430)</f>
        <v>0</v>
      </c>
      <c r="CG11" s="6"/>
      <c r="CH11" s="12">
        <f>SUBTOTAL(9,CH17:CH65430)</f>
        <v>0</v>
      </c>
      <c r="CI11" s="6"/>
      <c r="CJ11" s="51"/>
      <c r="CK11" s="10"/>
      <c r="CL11" s="10"/>
      <c r="CM11" s="10"/>
      <c r="CN11" s="10"/>
      <c r="CO11" s="10"/>
      <c r="CP11" s="10"/>
      <c r="CQ11" s="10"/>
      <c r="CR11" s="10"/>
      <c r="CS11" s="49">
        <f>SUBTOTAL(9,CS17:CS65430)</f>
        <v>1</v>
      </c>
      <c r="CT11" s="11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2">
        <f t="shared" ref="DI11:DN11" si="2">SUBTOTAL(9,DI17:DI65430)</f>
        <v>0</v>
      </c>
      <c r="DJ11" s="12">
        <f t="shared" si="2"/>
        <v>0</v>
      </c>
      <c r="DK11" s="12">
        <f t="shared" si="2"/>
        <v>0</v>
      </c>
      <c r="DL11" s="12">
        <f t="shared" si="2"/>
        <v>0</v>
      </c>
      <c r="DM11" s="12">
        <f t="shared" si="2"/>
        <v>0</v>
      </c>
      <c r="DN11" s="12">
        <f t="shared" si="2"/>
        <v>0</v>
      </c>
      <c r="DO11" s="41"/>
      <c r="DP11" s="41"/>
      <c r="DQ11" s="41"/>
      <c r="DR11" s="41"/>
      <c r="DS11" s="41"/>
      <c r="DT11" s="41"/>
      <c r="DU11" s="41"/>
    </row>
    <row r="12" spans="1:128" s="47" customFormat="1" ht="12.75" x14ac:dyDescent="0.2">
      <c r="A12" s="52"/>
      <c r="F12" s="53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5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BA12" s="54"/>
      <c r="BB12" s="53"/>
      <c r="BC12" s="53"/>
      <c r="BD12" s="41"/>
      <c r="BE12" s="41"/>
      <c r="BF12" s="55"/>
      <c r="BG12" s="41"/>
      <c r="BH12" s="41"/>
      <c r="BI12" s="53"/>
      <c r="BJ12" s="53"/>
      <c r="BU12" s="56"/>
      <c r="BV12" s="56"/>
      <c r="BW12" s="6"/>
      <c r="BX12" s="56"/>
      <c r="BY12" s="57"/>
      <c r="BZ12" s="53"/>
      <c r="CA12" s="53"/>
      <c r="CB12" s="41"/>
      <c r="CC12" s="55"/>
      <c r="CK12" s="10"/>
      <c r="CL12" s="10"/>
      <c r="CM12" s="10"/>
      <c r="CN12" s="10"/>
      <c r="CO12" s="10"/>
      <c r="CP12" s="10"/>
      <c r="CQ12" s="10"/>
      <c r="CR12" s="10"/>
      <c r="CS12" s="10"/>
      <c r="CT12" s="11" t="s">
        <v>29</v>
      </c>
      <c r="CU12" s="47">
        <f>E16</f>
        <v>5</v>
      </c>
      <c r="CV12" s="47">
        <f>AB16</f>
        <v>28</v>
      </c>
      <c r="CY12" s="47">
        <f>AC16</f>
        <v>29</v>
      </c>
      <c r="DC12" s="47">
        <f>AD16</f>
        <v>30</v>
      </c>
      <c r="DD12" s="47">
        <f>AE16</f>
        <v>31</v>
      </c>
      <c r="DE12" s="47">
        <f>D16</f>
        <v>4</v>
      </c>
      <c r="DF12" s="47">
        <f>BD16</f>
        <v>50</v>
      </c>
      <c r="DG12" s="47">
        <f>BE16</f>
        <v>51</v>
      </c>
      <c r="DM12" s="47">
        <f>F16</f>
        <v>6</v>
      </c>
      <c r="DN12" s="47">
        <f>G16</f>
        <v>7</v>
      </c>
      <c r="DR12" s="47">
        <f>BG16</f>
        <v>53</v>
      </c>
    </row>
    <row r="13" spans="1:128" s="35" customFormat="1" ht="15.75" x14ac:dyDescent="0.2">
      <c r="A13" s="58" t="s">
        <v>30</v>
      </c>
      <c r="B13" s="59"/>
      <c r="C13" s="59"/>
      <c r="D13" s="59"/>
      <c r="E13" s="59"/>
      <c r="F13" s="59">
        <f t="shared" ref="F13:U13" si="3">SUM(F17:F49930)</f>
        <v>0</v>
      </c>
      <c r="G13" s="59">
        <f t="shared" si="3"/>
        <v>0</v>
      </c>
      <c r="H13" s="59">
        <f t="shared" si="3"/>
        <v>0</v>
      </c>
      <c r="I13" s="59">
        <f t="shared" si="3"/>
        <v>0</v>
      </c>
      <c r="J13" s="59">
        <f t="shared" si="3"/>
        <v>0</v>
      </c>
      <c r="K13" s="59">
        <f t="shared" si="3"/>
        <v>0</v>
      </c>
      <c r="L13" s="59">
        <f t="shared" si="3"/>
        <v>0</v>
      </c>
      <c r="M13" s="59">
        <f t="shared" si="3"/>
        <v>0</v>
      </c>
      <c r="N13" s="59">
        <f t="shared" si="3"/>
        <v>0</v>
      </c>
      <c r="O13" s="59">
        <f t="shared" si="3"/>
        <v>0</v>
      </c>
      <c r="P13" s="59">
        <f t="shared" si="3"/>
        <v>0</v>
      </c>
      <c r="Q13" s="59">
        <f t="shared" si="3"/>
        <v>0</v>
      </c>
      <c r="R13" s="59">
        <f t="shared" si="3"/>
        <v>0</v>
      </c>
      <c r="S13" s="59">
        <f t="shared" si="3"/>
        <v>0</v>
      </c>
      <c r="T13" s="59">
        <f t="shared" si="3"/>
        <v>0</v>
      </c>
      <c r="U13" s="59">
        <f t="shared" si="3"/>
        <v>0</v>
      </c>
      <c r="V13" s="57"/>
      <c r="W13" s="59">
        <f>SUM(W17:W65466)</f>
        <v>0</v>
      </c>
      <c r="X13" s="60">
        <f>SUM(X17:X65466)</f>
        <v>0</v>
      </c>
      <c r="Y13" s="59">
        <f>SUM(Y17:Y65466)</f>
        <v>0</v>
      </c>
      <c r="Z13" s="60">
        <f>SUM(Z17:Z65466)</f>
        <v>0</v>
      </c>
      <c r="AA13" s="61">
        <f>COUNTIF(AA17:AA65430,"*")</f>
        <v>0</v>
      </c>
      <c r="AB13" s="59"/>
      <c r="AC13" s="61"/>
      <c r="AD13" s="61"/>
      <c r="AE13" s="61"/>
      <c r="AF13" s="59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2"/>
      <c r="AW13" s="60">
        <f>SUM(AW17:AW65466)</f>
        <v>0</v>
      </c>
      <c r="AX13" s="60">
        <f>SUM(AX17:AX65466)</f>
        <v>0</v>
      </c>
      <c r="AY13" s="60">
        <f>SUM(AY17:AY65466)</f>
        <v>0</v>
      </c>
      <c r="AZ13" s="60">
        <f>SUM(AZ17:AZ65466)</f>
        <v>0</v>
      </c>
      <c r="BB13" s="59">
        <f>SUM(BB17:BB65466)</f>
        <v>0</v>
      </c>
      <c r="BC13" s="59">
        <f>SUM(BC17:BC65466)</f>
        <v>0</v>
      </c>
      <c r="BD13" s="60"/>
      <c r="BE13" s="60"/>
      <c r="BF13" s="57"/>
      <c r="BG13" s="59"/>
      <c r="BH13" s="60">
        <f t="shared" ref="BH13:BM13" si="4">SUM(BH17:BH65466)</f>
        <v>0</v>
      </c>
      <c r="BI13" s="59">
        <f t="shared" si="4"/>
        <v>0</v>
      </c>
      <c r="BJ13" s="59">
        <f t="shared" si="4"/>
        <v>0</v>
      </c>
      <c r="BK13" s="59">
        <f t="shared" si="4"/>
        <v>0</v>
      </c>
      <c r="BL13" s="59">
        <f t="shared" si="4"/>
        <v>0</v>
      </c>
      <c r="BM13" s="59">
        <f t="shared" si="4"/>
        <v>0</v>
      </c>
      <c r="BO13" s="59">
        <f>SUM(BO17:BO65466)</f>
        <v>0</v>
      </c>
      <c r="BQ13" s="59">
        <f>SUM(BQ17:BQ65466)</f>
        <v>0</v>
      </c>
      <c r="BR13" s="59">
        <f>SUM(BR17:BR65466)</f>
        <v>0</v>
      </c>
      <c r="BS13" s="59">
        <f>SUM(BS17:BS65466)</f>
        <v>0</v>
      </c>
      <c r="BT13" s="59">
        <f>SUM(BT17:BT65466)</f>
        <v>0</v>
      </c>
      <c r="BU13" s="59">
        <f>SUM(BU17:BU65466)</f>
        <v>0</v>
      </c>
      <c r="BW13" s="59">
        <f>SUM(BW17:BW65466)</f>
        <v>0</v>
      </c>
      <c r="BX13" s="59"/>
      <c r="BY13" s="57"/>
      <c r="BZ13" s="59">
        <f>SUM(BZ17:BZ65466)</f>
        <v>0</v>
      </c>
      <c r="CA13" s="59">
        <f>SUM(CA17:CA65466)</f>
        <v>0</v>
      </c>
      <c r="CB13" s="60">
        <f>SUM(CB17:CB65466)</f>
        <v>0</v>
      </c>
      <c r="CC13" s="57"/>
      <c r="CD13" s="59">
        <f>SUM(CD17:CD65466)</f>
        <v>0</v>
      </c>
      <c r="CE13" s="59">
        <f>SUM(CE17:CE65466)</f>
        <v>0</v>
      </c>
      <c r="CF13" s="59">
        <f>SUM(CF17:CF65466)</f>
        <v>0</v>
      </c>
      <c r="CG13" s="61"/>
      <c r="CH13" s="59">
        <f>SUM(CH17:CH65466)</f>
        <v>0</v>
      </c>
      <c r="CI13" s="61"/>
      <c r="CK13" s="10"/>
      <c r="CL13" s="10"/>
      <c r="CM13" s="10"/>
      <c r="CN13" s="10"/>
      <c r="CO13" s="10"/>
      <c r="CP13" s="10"/>
      <c r="CQ13" s="10"/>
      <c r="CR13" s="10"/>
      <c r="CS13" s="60">
        <f>SUM(CS17:CS1048576)</f>
        <v>1</v>
      </c>
      <c r="CT13" s="11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>
        <f t="shared" ref="DI13:DN13" si="5">SUM(DI17:DI49930)</f>
        <v>0</v>
      </c>
      <c r="DJ13" s="59">
        <f t="shared" si="5"/>
        <v>0</v>
      </c>
      <c r="DK13" s="59">
        <f t="shared" si="5"/>
        <v>0</v>
      </c>
      <c r="DL13" s="59">
        <f t="shared" si="5"/>
        <v>0</v>
      </c>
      <c r="DM13" s="59">
        <f t="shared" si="5"/>
        <v>0</v>
      </c>
      <c r="DN13" s="59">
        <f t="shared" si="5"/>
        <v>0</v>
      </c>
      <c r="DO13" s="59"/>
      <c r="DP13" s="59"/>
      <c r="DQ13" s="59"/>
      <c r="DR13" s="59"/>
      <c r="DS13" s="59"/>
      <c r="DT13" s="59"/>
      <c r="DU13" s="59"/>
    </row>
    <row r="14" spans="1:128" ht="96.75" customHeight="1" x14ac:dyDescent="0.2">
      <c r="A14" s="141" t="s">
        <v>31</v>
      </c>
      <c r="B14" s="141" t="s">
        <v>32</v>
      </c>
      <c r="C14" s="141" t="s">
        <v>33</v>
      </c>
      <c r="D14" s="142" t="s">
        <v>34</v>
      </c>
      <c r="E14" s="142" t="s">
        <v>35</v>
      </c>
      <c r="F14" s="142" t="s">
        <v>36</v>
      </c>
      <c r="G14" s="142"/>
      <c r="H14" s="142" t="s">
        <v>37</v>
      </c>
      <c r="I14" s="142"/>
      <c r="J14" s="142" t="s">
        <v>38</v>
      </c>
      <c r="K14" s="142"/>
      <c r="L14" s="142" t="s">
        <v>39</v>
      </c>
      <c r="M14" s="142"/>
      <c r="N14" s="142"/>
      <c r="O14" s="142"/>
      <c r="P14" s="142"/>
      <c r="Q14" s="142"/>
      <c r="R14" s="142"/>
      <c r="S14" s="142"/>
      <c r="T14" s="63" t="str">
        <f>"Прочие расхождения по налогу, пени/штрафам 
(гр. "&amp;J16&amp;"+"&amp;L16&amp;"+"&amp;N16&amp;"+"&amp;P16&amp;"+"&amp;R16&amp;")"</f>
        <v>Прочие расхождения по налогу, пени/штрафам 
(гр. 10+12+14+16+18)</v>
      </c>
      <c r="U14" s="63" t="str">
        <f>"Прочие расхождения по налогу, пени/штрафам 
(гр. "&amp;K16&amp;"-"&amp;M16&amp;"-"&amp;O16&amp;"-"&amp;Q16&amp;"-"&amp;S16&amp;")"</f>
        <v>Прочие расхождения по налогу, пени/штрафам 
(гр. 11-13-15-17-19)</v>
      </c>
      <c r="V14" s="142" t="s">
        <v>40</v>
      </c>
      <c r="W14" s="144" t="s">
        <v>41</v>
      </c>
      <c r="X14" s="145"/>
      <c r="Y14" s="145"/>
      <c r="Z14" s="146"/>
      <c r="AA14" s="147" t="s">
        <v>42</v>
      </c>
      <c r="AB14" s="142" t="s">
        <v>43</v>
      </c>
      <c r="AC14" s="141" t="s">
        <v>44</v>
      </c>
      <c r="AD14" s="141" t="s">
        <v>45</v>
      </c>
      <c r="AE14" s="141" t="s">
        <v>46</v>
      </c>
      <c r="AF14" s="142" t="s">
        <v>47</v>
      </c>
      <c r="AG14" s="141" t="s">
        <v>48</v>
      </c>
      <c r="AH14" s="64" t="s">
        <v>49</v>
      </c>
      <c r="AI14" s="65"/>
      <c r="AJ14" s="64" t="s">
        <v>50</v>
      </c>
      <c r="AK14" s="65"/>
      <c r="AL14" s="64" t="s">
        <v>49</v>
      </c>
      <c r="AM14" s="65"/>
      <c r="AN14" s="64" t="s">
        <v>50</v>
      </c>
      <c r="AO14" s="65"/>
      <c r="AP14" s="64" t="s">
        <v>49</v>
      </c>
      <c r="AQ14" s="65"/>
      <c r="AR14" s="64" t="s">
        <v>50</v>
      </c>
      <c r="AS14" s="65"/>
      <c r="AT14" s="143" t="str">
        <f>"Причины невозможности устранения.
Мероприятия по устранению выявленных расхождений, указанным в гр. "&amp;T16&amp;", "&amp;U16&amp;""</f>
        <v>Причины невозможности устранения.
Мероприятия по устранению выявленных расхождений, указанным в гр. 20, 21</v>
      </c>
      <c r="AU14" s="143" t="s">
        <v>51</v>
      </c>
      <c r="AV14" s="47"/>
      <c r="AW14" s="66" t="str">
        <f>"заполнение или гр. "&amp;AA16&amp;" или гр. "&amp;AB16&amp;","&amp;AF16&amp;""</f>
        <v>заполнение или гр. 27 или гр. 28,32</v>
      </c>
      <c r="AX14" s="66" t="str">
        <f>"заполнение или гр. "&amp;AA16&amp;" или гр. "&amp;W16&amp;","&amp;Y16&amp;""</f>
        <v>заполнение или гр. 27 или гр. 23,25</v>
      </c>
      <c r="AY14" s="66" t="str">
        <f>"заполнение гр. "&amp;T16&amp;" и гр. "&amp;$V$16&amp;""</f>
        <v>заполнение гр. 20 и гр. 22</v>
      </c>
      <c r="AZ14" s="66" t="str">
        <f>"заполнение гр. "&amp;U16&amp;" и гр. "&amp;$V$16&amp;""</f>
        <v>заполнение гр. 21 и гр. 22</v>
      </c>
      <c r="BA14" s="47"/>
      <c r="BB14" s="136" t="str">
        <f>"Расхождение не подтверждено актом сверки 
- положительная сумма - в РТК сумма сальдо больше, 
- отрицательная сумма - в НО сумма сальдо больше
(налог, пени/штрафы гр. "&amp;J16&amp;", "&amp;K16&amp;")"</f>
        <v>Расхождение не подтверждено актом сверки 
- положительная сумма - в РТК сумма сальдо больше, 
- отрицательная сумма - в НО сумма сальдо больше
(налог, пени/штрафы гр. 10, 11)</v>
      </c>
      <c r="BC14" s="136"/>
      <c r="BD14" s="135" t="s">
        <v>52</v>
      </c>
      <c r="BE14" s="135" t="s">
        <v>53</v>
      </c>
      <c r="BF14" s="135" t="s">
        <v>54</v>
      </c>
      <c r="BG14" s="135" t="s">
        <v>55</v>
      </c>
      <c r="BH14" s="135" t="s">
        <v>56</v>
      </c>
      <c r="BI14" s="136" t="str">
        <f>"СПРАВОЧНО: Сальдо "&amp;F14&amp;""</f>
        <v>СПРАВОЧНО: Сальдо По данным налогоплательщика  (сч.68) /
 страхователя (сч.69)</v>
      </c>
      <c r="BJ14" s="136"/>
      <c r="BK14" s="136" t="str">
        <f>"Подлежит СПИСАНИЮ в БУ по итогам инвентаризации (гр. "&amp;F16&amp;", "&amp;G16&amp;")"</f>
        <v>Подлежит СПИСАНИЮ в БУ по итогам инвентаризации (гр. 6, 7)</v>
      </c>
      <c r="BL14" s="136"/>
      <c r="BM14" s="137" t="str">
        <f>"Контроль корректности заполнения гр. "&amp;BK16&amp;", "&amp;BL16&amp;""</f>
        <v>Контроль корректности заполнения гр. 57, 58</v>
      </c>
      <c r="BN14" s="137"/>
      <c r="BO14" s="137"/>
      <c r="BP14" s="137"/>
      <c r="BQ14" s="138" t="s">
        <v>57</v>
      </c>
      <c r="BR14" s="139"/>
      <c r="BS14" s="139"/>
      <c r="BT14" s="140"/>
      <c r="BU14" s="137" t="str">
        <f>"Контроль корректности заполнения гр. "&amp;BQ16&amp;", "&amp;BS16&amp;""</f>
        <v>Контроль корректности заполнения гр. 63, 65</v>
      </c>
      <c r="BV14" s="137"/>
      <c r="BW14" s="137"/>
      <c r="BX14" s="137"/>
      <c r="BY14" s="132" t="str">
        <f>"Пояснения по причинам КОРРЕКТИРОВКИ в БУ (гр. "&amp;BQ16&amp;" - "&amp;BT16&amp;")"</f>
        <v>Пояснения по причинам КОРРЕКТИРОВКИ в БУ (гр. 63 - 66)</v>
      </c>
      <c r="BZ14" s="136" t="str">
        <f>"СПРАВОЧНО: Сальдо "&amp;H14&amp;""</f>
        <v>СПРАВОЧНО: Сальдо По данным НО (сч.68) / 
ГВФ (сч.69)</v>
      </c>
      <c r="CA14" s="136"/>
      <c r="CB14" s="135" t="s">
        <v>56</v>
      </c>
      <c r="CC14" s="135" t="s">
        <v>58</v>
      </c>
      <c r="CD14" s="136" t="str">
        <f>"Подлежит СПИСАНИЮ в НО по итогам инвентаризации ( гр. "&amp;H16&amp;", "&amp;I16&amp;")"</f>
        <v>Подлежит СПИСАНИЮ в НО по итогам инвентаризации ( гр. 8, 9)</v>
      </c>
      <c r="CE14" s="136"/>
      <c r="CF14" s="137" t="str">
        <f>"Контроль корректности заполнения гр. "&amp;CD16&amp;", "&amp;CE16&amp;""</f>
        <v>Контроль корректности заполнения гр. 76, 77</v>
      </c>
      <c r="CG14" s="137"/>
      <c r="CH14" s="137"/>
      <c r="CI14" s="137"/>
      <c r="CJ14" s="132"/>
      <c r="CK14" s="132"/>
      <c r="CL14" s="132"/>
      <c r="CM14" s="10"/>
      <c r="CN14" s="10"/>
      <c r="CO14" s="10"/>
      <c r="CP14" s="10"/>
      <c r="CQ14" s="10"/>
      <c r="CS14" s="134" t="s">
        <v>59</v>
      </c>
      <c r="CT14" s="11"/>
      <c r="CU14" s="130" t="s">
        <v>35</v>
      </c>
      <c r="CV14" s="130" t="s">
        <v>60</v>
      </c>
      <c r="CW14" s="130" t="s">
        <v>61</v>
      </c>
      <c r="CX14" s="130" t="s">
        <v>62</v>
      </c>
      <c r="CY14" s="130" t="s">
        <v>44</v>
      </c>
      <c r="CZ14" s="130" t="s">
        <v>63</v>
      </c>
      <c r="DA14" s="130" t="s">
        <v>64</v>
      </c>
      <c r="DB14" s="130" t="s">
        <v>65</v>
      </c>
      <c r="DC14" s="130" t="s">
        <v>45</v>
      </c>
      <c r="DD14" s="130" t="s">
        <v>46</v>
      </c>
      <c r="DE14" s="130" t="s">
        <v>34</v>
      </c>
      <c r="DF14" s="130" t="s">
        <v>52</v>
      </c>
      <c r="DG14" s="130" t="s">
        <v>53</v>
      </c>
      <c r="DH14" s="130" t="s">
        <v>66</v>
      </c>
      <c r="DI14" s="130" t="s">
        <v>36</v>
      </c>
      <c r="DJ14" s="130"/>
      <c r="DK14" s="130" t="s">
        <v>36</v>
      </c>
      <c r="DL14" s="130"/>
      <c r="DM14" s="130" t="s">
        <v>36</v>
      </c>
      <c r="DN14" s="130"/>
      <c r="DO14" s="130" t="s">
        <v>67</v>
      </c>
      <c r="DP14" s="130" t="s">
        <v>68</v>
      </c>
      <c r="DQ14" s="130" t="s">
        <v>69</v>
      </c>
      <c r="DR14" s="130" t="s">
        <v>55</v>
      </c>
      <c r="DS14" s="130" t="s">
        <v>70</v>
      </c>
      <c r="DT14" s="130" t="s">
        <v>71</v>
      </c>
      <c r="DU14" s="130" t="s">
        <v>72</v>
      </c>
    </row>
    <row r="15" spans="1:128" ht="44.25" customHeight="1" x14ac:dyDescent="0.2">
      <c r="A15" s="141"/>
      <c r="B15" s="141"/>
      <c r="C15" s="141"/>
      <c r="D15" s="142"/>
      <c r="E15" s="142"/>
      <c r="F15" s="67" t="s">
        <v>73</v>
      </c>
      <c r="G15" s="63" t="s">
        <v>74</v>
      </c>
      <c r="H15" s="67" t="s">
        <v>75</v>
      </c>
      <c r="I15" s="63" t="s">
        <v>76</v>
      </c>
      <c r="J15" s="67" t="str">
        <f>"Дт / Переплата (гр."&amp;F16&amp;" - гр ."&amp;H16&amp;")"</f>
        <v>Дт / Переплата (гр.6 - гр .8)</v>
      </c>
      <c r="K15" s="67" t="str">
        <f>"Кт / Недоимка (гр."&amp;G16&amp;" - гр ."&amp;I16&amp;")"</f>
        <v>Кт / Недоимка (гр.7 - гр .9)</v>
      </c>
      <c r="L15" s="67" t="s">
        <v>75</v>
      </c>
      <c r="M15" s="63" t="s">
        <v>76</v>
      </c>
      <c r="N15" s="67" t="s">
        <v>75</v>
      </c>
      <c r="O15" s="63" t="s">
        <v>76</v>
      </c>
      <c r="P15" s="67" t="s">
        <v>75</v>
      </c>
      <c r="Q15" s="63" t="s">
        <v>76</v>
      </c>
      <c r="R15" s="67" t="s">
        <v>75</v>
      </c>
      <c r="S15" s="63" t="s">
        <v>76</v>
      </c>
      <c r="T15" s="67" t="s">
        <v>75</v>
      </c>
      <c r="U15" s="63" t="s">
        <v>76</v>
      </c>
      <c r="V15" s="142"/>
      <c r="W15" s="67" t="s">
        <v>77</v>
      </c>
      <c r="X15" s="68" t="s">
        <v>78</v>
      </c>
      <c r="Y15" s="67" t="s">
        <v>79</v>
      </c>
      <c r="Z15" s="68" t="s">
        <v>78</v>
      </c>
      <c r="AA15" s="147"/>
      <c r="AB15" s="142"/>
      <c r="AC15" s="141"/>
      <c r="AD15" s="141"/>
      <c r="AE15" s="141"/>
      <c r="AF15" s="142"/>
      <c r="AG15" s="141"/>
      <c r="AH15" s="67" t="s">
        <v>75</v>
      </c>
      <c r="AI15" s="63" t="s">
        <v>76</v>
      </c>
      <c r="AJ15" s="67" t="s">
        <v>75</v>
      </c>
      <c r="AK15" s="63" t="s">
        <v>76</v>
      </c>
      <c r="AL15" s="67" t="s">
        <v>75</v>
      </c>
      <c r="AM15" s="63" t="s">
        <v>76</v>
      </c>
      <c r="AN15" s="67" t="s">
        <v>75</v>
      </c>
      <c r="AO15" s="63" t="s">
        <v>76</v>
      </c>
      <c r="AP15" s="67" t="s">
        <v>75</v>
      </c>
      <c r="AQ15" s="63" t="s">
        <v>76</v>
      </c>
      <c r="AR15" s="67" t="s">
        <v>75</v>
      </c>
      <c r="AS15" s="63" t="s">
        <v>76</v>
      </c>
      <c r="AT15" s="143"/>
      <c r="AU15" s="143"/>
      <c r="AV15" s="47"/>
      <c r="AW15" s="131" t="s">
        <v>78</v>
      </c>
      <c r="AX15" s="131"/>
      <c r="AY15" s="131"/>
      <c r="AZ15" s="131"/>
      <c r="BA15" s="47"/>
      <c r="BB15" s="69" t="s">
        <v>77</v>
      </c>
      <c r="BC15" s="69" t="s">
        <v>79</v>
      </c>
      <c r="BD15" s="135"/>
      <c r="BE15" s="135"/>
      <c r="BF15" s="135"/>
      <c r="BG15" s="135"/>
      <c r="BH15" s="135"/>
      <c r="BI15" s="69" t="s">
        <v>77</v>
      </c>
      <c r="BJ15" s="69" t="s">
        <v>79</v>
      </c>
      <c r="BK15" s="69" t="s">
        <v>77</v>
      </c>
      <c r="BL15" s="69" t="s">
        <v>79</v>
      </c>
      <c r="BM15" s="70" t="s">
        <v>80</v>
      </c>
      <c r="BN15" s="70" t="s">
        <v>78</v>
      </c>
      <c r="BO15" s="70" t="s">
        <v>81</v>
      </c>
      <c r="BP15" s="70" t="s">
        <v>78</v>
      </c>
      <c r="BQ15" s="71" t="s">
        <v>82</v>
      </c>
      <c r="BR15" s="71" t="s">
        <v>83</v>
      </c>
      <c r="BS15" s="71" t="s">
        <v>84</v>
      </c>
      <c r="BT15" s="71" t="s">
        <v>85</v>
      </c>
      <c r="BU15" s="70" t="s">
        <v>86</v>
      </c>
      <c r="BV15" s="70" t="s">
        <v>78</v>
      </c>
      <c r="BW15" s="70" t="s">
        <v>87</v>
      </c>
      <c r="BX15" s="70" t="s">
        <v>78</v>
      </c>
      <c r="BY15" s="133"/>
      <c r="BZ15" s="69" t="s">
        <v>77</v>
      </c>
      <c r="CA15" s="69" t="s">
        <v>79</v>
      </c>
      <c r="CB15" s="135"/>
      <c r="CC15" s="135"/>
      <c r="CD15" s="69" t="s">
        <v>77</v>
      </c>
      <c r="CE15" s="69" t="s">
        <v>79</v>
      </c>
      <c r="CF15" s="70" t="s">
        <v>80</v>
      </c>
      <c r="CG15" s="70" t="s">
        <v>78</v>
      </c>
      <c r="CH15" s="70" t="s">
        <v>81</v>
      </c>
      <c r="CI15" s="70" t="s">
        <v>78</v>
      </c>
      <c r="CJ15" s="133"/>
      <c r="CK15" s="133"/>
      <c r="CL15" s="133"/>
      <c r="CM15" s="10"/>
      <c r="CN15" s="10"/>
      <c r="CQ15" s="6"/>
      <c r="CS15" s="134"/>
      <c r="CT15" s="11"/>
      <c r="CU15" s="130"/>
      <c r="CV15" s="130"/>
      <c r="CW15" s="130"/>
      <c r="CX15" s="130"/>
      <c r="CY15" s="130"/>
      <c r="CZ15" s="130"/>
      <c r="DA15" s="130"/>
      <c r="DB15" s="130"/>
      <c r="DC15" s="130"/>
      <c r="DD15" s="130"/>
      <c r="DE15" s="130"/>
      <c r="DF15" s="130"/>
      <c r="DG15" s="130"/>
      <c r="DH15" s="130"/>
      <c r="DI15" s="72" t="s">
        <v>88</v>
      </c>
      <c r="DJ15" s="73" t="s">
        <v>89</v>
      </c>
      <c r="DK15" s="72" t="s">
        <v>90</v>
      </c>
      <c r="DL15" s="72" t="s">
        <v>91</v>
      </c>
      <c r="DM15" s="72" t="s">
        <v>73</v>
      </c>
      <c r="DN15" s="73" t="s">
        <v>74</v>
      </c>
      <c r="DO15" s="130"/>
      <c r="DP15" s="130"/>
      <c r="DQ15" s="130"/>
      <c r="DR15" s="130"/>
      <c r="DS15" s="130"/>
      <c r="DT15" s="130"/>
      <c r="DU15" s="130"/>
    </row>
    <row r="16" spans="1:128" ht="12.75" x14ac:dyDescent="0.2">
      <c r="A16" s="74">
        <v>1</v>
      </c>
      <c r="B16" s="75">
        <f t="shared" ref="B16:AU16" si="6">A16+1</f>
        <v>2</v>
      </c>
      <c r="C16" s="75">
        <f t="shared" si="6"/>
        <v>3</v>
      </c>
      <c r="D16" s="75">
        <f t="shared" si="6"/>
        <v>4</v>
      </c>
      <c r="E16" s="75">
        <f t="shared" si="6"/>
        <v>5</v>
      </c>
      <c r="F16" s="75">
        <f t="shared" si="6"/>
        <v>6</v>
      </c>
      <c r="G16" s="75">
        <f t="shared" si="6"/>
        <v>7</v>
      </c>
      <c r="H16" s="75">
        <f t="shared" si="6"/>
        <v>8</v>
      </c>
      <c r="I16" s="75">
        <f t="shared" si="6"/>
        <v>9</v>
      </c>
      <c r="J16" s="75">
        <f t="shared" si="6"/>
        <v>10</v>
      </c>
      <c r="K16" s="75">
        <f t="shared" si="6"/>
        <v>11</v>
      </c>
      <c r="L16" s="75">
        <f t="shared" si="6"/>
        <v>12</v>
      </c>
      <c r="M16" s="75">
        <f t="shared" si="6"/>
        <v>13</v>
      </c>
      <c r="N16" s="75">
        <f t="shared" si="6"/>
        <v>14</v>
      </c>
      <c r="O16" s="75">
        <f t="shared" si="6"/>
        <v>15</v>
      </c>
      <c r="P16" s="75">
        <f t="shared" si="6"/>
        <v>16</v>
      </c>
      <c r="Q16" s="75">
        <f t="shared" si="6"/>
        <v>17</v>
      </c>
      <c r="R16" s="75">
        <f t="shared" si="6"/>
        <v>18</v>
      </c>
      <c r="S16" s="75">
        <f t="shared" si="6"/>
        <v>19</v>
      </c>
      <c r="T16" s="75">
        <f t="shared" si="6"/>
        <v>20</v>
      </c>
      <c r="U16" s="75">
        <f t="shared" si="6"/>
        <v>21</v>
      </c>
      <c r="V16" s="75">
        <f t="shared" si="6"/>
        <v>22</v>
      </c>
      <c r="W16" s="75">
        <f t="shared" si="6"/>
        <v>23</v>
      </c>
      <c r="X16" s="75">
        <f t="shared" si="6"/>
        <v>24</v>
      </c>
      <c r="Y16" s="75">
        <f t="shared" si="6"/>
        <v>25</v>
      </c>
      <c r="Z16" s="75">
        <f t="shared" si="6"/>
        <v>26</v>
      </c>
      <c r="AA16" s="75">
        <f t="shared" si="6"/>
        <v>27</v>
      </c>
      <c r="AB16" s="75">
        <f t="shared" si="6"/>
        <v>28</v>
      </c>
      <c r="AC16" s="75">
        <f t="shared" si="6"/>
        <v>29</v>
      </c>
      <c r="AD16" s="75">
        <f t="shared" si="6"/>
        <v>30</v>
      </c>
      <c r="AE16" s="75">
        <f t="shared" si="6"/>
        <v>31</v>
      </c>
      <c r="AF16" s="75">
        <f t="shared" si="6"/>
        <v>32</v>
      </c>
      <c r="AG16" s="75">
        <f t="shared" si="6"/>
        <v>33</v>
      </c>
      <c r="AH16" s="75">
        <f t="shared" si="6"/>
        <v>34</v>
      </c>
      <c r="AI16" s="75">
        <f t="shared" si="6"/>
        <v>35</v>
      </c>
      <c r="AJ16" s="75">
        <f t="shared" si="6"/>
        <v>36</v>
      </c>
      <c r="AK16" s="75">
        <f t="shared" si="6"/>
        <v>37</v>
      </c>
      <c r="AL16" s="75">
        <f t="shared" si="6"/>
        <v>38</v>
      </c>
      <c r="AM16" s="75">
        <f t="shared" si="6"/>
        <v>39</v>
      </c>
      <c r="AN16" s="75">
        <f t="shared" si="6"/>
        <v>40</v>
      </c>
      <c r="AO16" s="75">
        <f t="shared" si="6"/>
        <v>41</v>
      </c>
      <c r="AP16" s="75">
        <f t="shared" si="6"/>
        <v>42</v>
      </c>
      <c r="AQ16" s="75">
        <f t="shared" si="6"/>
        <v>43</v>
      </c>
      <c r="AR16" s="75">
        <f t="shared" si="6"/>
        <v>44</v>
      </c>
      <c r="AS16" s="75">
        <f t="shared" si="6"/>
        <v>45</v>
      </c>
      <c r="AT16" s="75">
        <f t="shared" si="6"/>
        <v>46</v>
      </c>
      <c r="AU16" s="75">
        <f t="shared" si="6"/>
        <v>47</v>
      </c>
      <c r="AV16" s="76"/>
      <c r="AW16" s="77" t="s">
        <v>92</v>
      </c>
      <c r="AX16" s="77" t="s">
        <v>92</v>
      </c>
      <c r="AY16" s="77" t="s">
        <v>92</v>
      </c>
      <c r="AZ16" s="77" t="s">
        <v>92</v>
      </c>
      <c r="BA16" s="76"/>
      <c r="BB16" s="75">
        <f>AU16+1</f>
        <v>48</v>
      </c>
      <c r="BC16" s="75">
        <f t="shared" ref="BC16:CL16" si="7">BB16+1</f>
        <v>49</v>
      </c>
      <c r="BD16" s="75">
        <f t="shared" si="7"/>
        <v>50</v>
      </c>
      <c r="BE16" s="75">
        <f t="shared" si="7"/>
        <v>51</v>
      </c>
      <c r="BF16" s="75">
        <f t="shared" si="7"/>
        <v>52</v>
      </c>
      <c r="BG16" s="75">
        <f t="shared" si="7"/>
        <v>53</v>
      </c>
      <c r="BH16" s="75">
        <f t="shared" si="7"/>
        <v>54</v>
      </c>
      <c r="BI16" s="75">
        <f t="shared" si="7"/>
        <v>55</v>
      </c>
      <c r="BJ16" s="75">
        <f t="shared" si="7"/>
        <v>56</v>
      </c>
      <c r="BK16" s="75">
        <f t="shared" si="7"/>
        <v>57</v>
      </c>
      <c r="BL16" s="75">
        <f t="shared" si="7"/>
        <v>58</v>
      </c>
      <c r="BM16" s="75">
        <f t="shared" si="7"/>
        <v>59</v>
      </c>
      <c r="BN16" s="75">
        <f t="shared" si="7"/>
        <v>60</v>
      </c>
      <c r="BO16" s="75">
        <f t="shared" si="7"/>
        <v>61</v>
      </c>
      <c r="BP16" s="75">
        <f t="shared" si="7"/>
        <v>62</v>
      </c>
      <c r="BQ16" s="75">
        <f t="shared" si="7"/>
        <v>63</v>
      </c>
      <c r="BR16" s="75">
        <f t="shared" si="7"/>
        <v>64</v>
      </c>
      <c r="BS16" s="75">
        <f t="shared" si="7"/>
        <v>65</v>
      </c>
      <c r="BT16" s="75">
        <f t="shared" si="7"/>
        <v>66</v>
      </c>
      <c r="BU16" s="75">
        <f t="shared" si="7"/>
        <v>67</v>
      </c>
      <c r="BV16" s="75">
        <f t="shared" si="7"/>
        <v>68</v>
      </c>
      <c r="BW16" s="75">
        <f t="shared" si="7"/>
        <v>69</v>
      </c>
      <c r="BX16" s="75">
        <f t="shared" si="7"/>
        <v>70</v>
      </c>
      <c r="BY16" s="75">
        <f t="shared" si="7"/>
        <v>71</v>
      </c>
      <c r="BZ16" s="75">
        <f t="shared" si="7"/>
        <v>72</v>
      </c>
      <c r="CA16" s="75">
        <f t="shared" si="7"/>
        <v>73</v>
      </c>
      <c r="CB16" s="75">
        <f t="shared" si="7"/>
        <v>74</v>
      </c>
      <c r="CC16" s="75">
        <f t="shared" si="7"/>
        <v>75</v>
      </c>
      <c r="CD16" s="75">
        <f t="shared" si="7"/>
        <v>76</v>
      </c>
      <c r="CE16" s="75">
        <f t="shared" si="7"/>
        <v>77</v>
      </c>
      <c r="CF16" s="75">
        <f t="shared" si="7"/>
        <v>78</v>
      </c>
      <c r="CG16" s="75">
        <f t="shared" si="7"/>
        <v>79</v>
      </c>
      <c r="CH16" s="75">
        <f t="shared" si="7"/>
        <v>80</v>
      </c>
      <c r="CI16" s="75">
        <f t="shared" si="7"/>
        <v>81</v>
      </c>
      <c r="CJ16" s="75">
        <f t="shared" si="7"/>
        <v>82</v>
      </c>
      <c r="CK16" s="75">
        <f t="shared" si="7"/>
        <v>83</v>
      </c>
      <c r="CL16" s="75">
        <f t="shared" si="7"/>
        <v>84</v>
      </c>
      <c r="CM16" s="10"/>
      <c r="CN16" s="10"/>
      <c r="CQ16" s="6"/>
      <c r="CS16" s="78"/>
      <c r="CT16" s="11"/>
      <c r="CU16" s="79">
        <f>CT16+1</f>
        <v>1</v>
      </c>
      <c r="CV16" s="79">
        <f t="shared" ref="CV16:DU16" si="8">CU16+1</f>
        <v>2</v>
      </c>
      <c r="CW16" s="79">
        <f t="shared" si="8"/>
        <v>3</v>
      </c>
      <c r="CX16" s="79">
        <f t="shared" si="8"/>
        <v>4</v>
      </c>
      <c r="CY16" s="79">
        <f t="shared" si="8"/>
        <v>5</v>
      </c>
      <c r="CZ16" s="79">
        <f t="shared" si="8"/>
        <v>6</v>
      </c>
      <c r="DA16" s="79">
        <f t="shared" si="8"/>
        <v>7</v>
      </c>
      <c r="DB16" s="79">
        <f t="shared" si="8"/>
        <v>8</v>
      </c>
      <c r="DC16" s="79">
        <f t="shared" si="8"/>
        <v>9</v>
      </c>
      <c r="DD16" s="79">
        <f t="shared" si="8"/>
        <v>10</v>
      </c>
      <c r="DE16" s="79">
        <f t="shared" si="8"/>
        <v>11</v>
      </c>
      <c r="DF16" s="79">
        <f t="shared" si="8"/>
        <v>12</v>
      </c>
      <c r="DG16" s="79">
        <f t="shared" si="8"/>
        <v>13</v>
      </c>
      <c r="DH16" s="79">
        <f t="shared" si="8"/>
        <v>14</v>
      </c>
      <c r="DI16" s="79">
        <f t="shared" si="8"/>
        <v>15</v>
      </c>
      <c r="DJ16" s="79">
        <f t="shared" si="8"/>
        <v>16</v>
      </c>
      <c r="DK16" s="79">
        <f t="shared" si="8"/>
        <v>17</v>
      </c>
      <c r="DL16" s="79">
        <f t="shared" si="8"/>
        <v>18</v>
      </c>
      <c r="DM16" s="79">
        <f t="shared" si="8"/>
        <v>19</v>
      </c>
      <c r="DN16" s="79">
        <f t="shared" si="8"/>
        <v>20</v>
      </c>
      <c r="DO16" s="79">
        <f t="shared" si="8"/>
        <v>21</v>
      </c>
      <c r="DP16" s="79">
        <f t="shared" si="8"/>
        <v>22</v>
      </c>
      <c r="DQ16" s="79">
        <f t="shared" si="8"/>
        <v>23</v>
      </c>
      <c r="DR16" s="79">
        <f t="shared" si="8"/>
        <v>24</v>
      </c>
      <c r="DS16" s="79">
        <f t="shared" si="8"/>
        <v>25</v>
      </c>
      <c r="DT16" s="79">
        <f t="shared" si="8"/>
        <v>26</v>
      </c>
      <c r="DU16" s="79">
        <f t="shared" si="8"/>
        <v>27</v>
      </c>
    </row>
    <row r="17" spans="1:125" ht="14.25" customHeight="1" x14ac:dyDescent="0.25">
      <c r="A17" s="80">
        <v>1</v>
      </c>
      <c r="B17" s="81"/>
      <c r="C17" s="82"/>
      <c r="D17" s="83" t="str">
        <f>IF(DE17="","",DE17)</f>
        <v/>
      </c>
      <c r="E17" s="84" t="str">
        <f>IF(CU17="","",CU17)</f>
        <v/>
      </c>
      <c r="F17" s="85">
        <f>DM17</f>
        <v>0</v>
      </c>
      <c r="G17" s="85">
        <f t="shared" ref="G17:G80" si="9">DN17</f>
        <v>0</v>
      </c>
      <c r="H17" s="12"/>
      <c r="I17" s="12"/>
      <c r="J17" s="86">
        <f t="shared" ref="J17:K53" si="10">ROUND(F17-H17,2)</f>
        <v>0</v>
      </c>
      <c r="K17" s="86">
        <f t="shared" si="10"/>
        <v>0</v>
      </c>
      <c r="L17" s="87"/>
      <c r="M17" s="87"/>
      <c r="N17" s="87"/>
      <c r="O17" s="87"/>
      <c r="P17" s="87"/>
      <c r="Q17" s="87"/>
      <c r="R17" s="87"/>
      <c r="S17" s="87"/>
      <c r="T17" s="86">
        <f>J17+L17+N17+P17+R17</f>
        <v>0</v>
      </c>
      <c r="U17" s="86">
        <f>K17-M17-O17-Q17-S17</f>
        <v>0</v>
      </c>
      <c r="V17" s="88"/>
      <c r="W17" s="12"/>
      <c r="X17" s="89">
        <f t="shared" ref="X17:X80" si="11">IF(OR(W17=0,AND(T17&gt;0,T17&gt;=W17,W17&gt;0),AND(T17&lt;0,T17&lt;=W17,W17&lt;0)),0,1)</f>
        <v>0</v>
      </c>
      <c r="Y17" s="12"/>
      <c r="Z17" s="89">
        <f t="shared" ref="Z17:Z80" si="12">IF(OR(Y17=0,AND(U17&gt;0,U17&gt;=Y17,Y17&gt;0),AND(U17&lt;0,U17&lt;=Y17,Y17&lt;0)),0,1)</f>
        <v>0</v>
      </c>
      <c r="AA17" s="90"/>
      <c r="AB17" s="91" t="str">
        <f>IF(CV17="","",CV17)</f>
        <v/>
      </c>
      <c r="AC17" s="83" t="str">
        <f>IF(CY17="","",CY17)</f>
        <v/>
      </c>
      <c r="AD17" s="83" t="str">
        <f>IF(DC17="","",DC17)</f>
        <v/>
      </c>
      <c r="AE17" s="83" t="str">
        <f>IF(DD17="","",DD17)</f>
        <v/>
      </c>
      <c r="AF17" s="80"/>
      <c r="AG17" s="92"/>
      <c r="AH17" s="93"/>
      <c r="AI17" s="93"/>
      <c r="AJ17" s="86">
        <f>T17-AH17</f>
        <v>0</v>
      </c>
      <c r="AK17" s="86">
        <f>U17-AI17</f>
        <v>0</v>
      </c>
      <c r="AL17" s="93"/>
      <c r="AM17" s="93"/>
      <c r="AN17" s="86">
        <f>AJ17-AL17</f>
        <v>0</v>
      </c>
      <c r="AO17" s="86">
        <f>AK17-AM17</f>
        <v>0</v>
      </c>
      <c r="AP17" s="93"/>
      <c r="AQ17" s="93"/>
      <c r="AR17" s="86">
        <f>AN17-AP17</f>
        <v>0</v>
      </c>
      <c r="AS17" s="86">
        <f>AO17-AQ17</f>
        <v>0</v>
      </c>
      <c r="AT17" s="94"/>
      <c r="AU17" s="94"/>
      <c r="AV17" s="47"/>
      <c r="AW17" s="89">
        <f t="shared" ref="AW17:AW80" si="13">IF(OR(AND(AA17="",AB17="",AF17=""),AND(AA17&lt;&gt;"",AB17="",AF17=""),AND(AA17="",AB17&lt;&gt;"",AF17&lt;&gt;"")),0,1)</f>
        <v>0</v>
      </c>
      <c r="AX17" s="89">
        <f t="shared" ref="AX17:AX80" si="14">IF(OR(AND(W17="",Y17="",AA17=""),AND(AA17&lt;&gt;"",W17="",Y17=""),AND(AA17="",OR(W17&lt;&gt;"",Y17&lt;&gt;""))),0,1)</f>
        <v>0</v>
      </c>
      <c r="AY17" s="89">
        <f t="shared" ref="AY17:AY80" si="15">IF(AND(T17=0,V17=""),0,IF(AND(OR(T17&gt;0,T17&lt;0),V17=""),1,0))</f>
        <v>0</v>
      </c>
      <c r="AZ17" s="89">
        <f t="shared" ref="AZ17:AZ80" si="16">IF(AND(U17=0,V17=""),0,IF(AND(OR(U17&gt;0,U17&lt;0),V17=""),1,0))</f>
        <v>0</v>
      </c>
      <c r="BA17" s="95"/>
      <c r="BB17" s="96">
        <f t="shared" ref="BB17:BC53" si="17">IF($AA17="*",J17,0)</f>
        <v>0</v>
      </c>
      <c r="BC17" s="96">
        <f t="shared" si="17"/>
        <v>0</v>
      </c>
      <c r="BD17" s="84" t="str">
        <f t="shared" ref="BD17:BE53" si="18">IF(DF17="","",DF17)</f>
        <v/>
      </c>
      <c r="BE17" s="84" t="str">
        <f t="shared" si="18"/>
        <v/>
      </c>
      <c r="BF17" s="88"/>
      <c r="BG17" s="97" t="str">
        <f t="shared" ref="BG17:BG80" si="19">IF(DR17="","",DR17)</f>
        <v/>
      </c>
      <c r="BH17" s="88"/>
      <c r="BI17" s="85">
        <f t="shared" ref="BI17:BJ53" si="20">F17</f>
        <v>0</v>
      </c>
      <c r="BJ17" s="85">
        <f t="shared" si="20"/>
        <v>0</v>
      </c>
      <c r="BK17" s="12"/>
      <c r="BL17" s="12"/>
      <c r="BM17" s="98">
        <f>IF(BK17=0,0,$BI17-BK17)</f>
        <v>0</v>
      </c>
      <c r="BN17" s="99">
        <f>IF(BM17&lt;0,"!!!сумма к списанию больше суммы сальдо",IF(AND(BH17=1,BL17&lt;&gt;0,BK17=0),0,IF(AND(BH17=1,BK17=0),"!!!есть признак просроченности, включить в списание",IF(BK17&lt;0,"!!!сумма д.б.положительной",IF(BM17&gt;0,"???проверить правильность указания суммы списания, т.к. она меньше сальдо",0)))))</f>
        <v>0</v>
      </c>
      <c r="BO17" s="98">
        <f>IF(BL17=0,0,$BJ17-BL17)</f>
        <v>0</v>
      </c>
      <c r="BP17" s="99">
        <f>IF(BO17&lt;0,"!!!сумма к списанию больше суммы сальдо",IF(AND(BH17=1,BK17&lt;&gt;0,BL17=0),0,IF(AND(BH17=1,BL17=0),"!!!есть признак просроченности, включить в списание",IF(BL17&lt;0,"!!!сумма д.б.положительной",IF(BO17&gt;0,"???проверить правильность указания суммы списания, т.к. она меньше сальдо",0)))))</f>
        <v>0</v>
      </c>
      <c r="BQ17" s="12"/>
      <c r="BR17" s="12"/>
      <c r="BS17" s="12"/>
      <c r="BT17" s="12"/>
      <c r="BU17" s="98">
        <f t="shared" ref="BU17:BU25" si="21">IF((BQ17+BR17)=0,0,$BI17+(BQ17+BR17))</f>
        <v>0</v>
      </c>
      <c r="BV17" s="99">
        <f>IF(BU17&lt;0,"!!! Отрицательное сальдо не допустимо",0)</f>
        <v>0</v>
      </c>
      <c r="BW17" s="98">
        <f t="shared" ref="BW17:BW25" si="22">IF((BS17+BT17)=0,0,$BJ17+(BS17+BT17))</f>
        <v>0</v>
      </c>
      <c r="BX17" s="99">
        <f t="shared" ref="BX17:BX80" si="23">IF(BW17&lt;0,"!!! Отрицательное сальдо не допустимо",0)</f>
        <v>0</v>
      </c>
      <c r="BY17" s="100"/>
      <c r="BZ17" s="85">
        <f>H17</f>
        <v>0</v>
      </c>
      <c r="CA17" s="85">
        <f>I17</f>
        <v>0</v>
      </c>
      <c r="CB17" s="88"/>
      <c r="CC17" s="88"/>
      <c r="CD17" s="12"/>
      <c r="CE17" s="12"/>
      <c r="CF17" s="98">
        <f>IF(CD17=0,0,$BZ17-CD17)</f>
        <v>0</v>
      </c>
      <c r="CG17" s="99">
        <f>IF(CF17&lt;0,"!!!сумма к списанию больше суммы сальдо",IF(AND(CB17=1,CE17&lt;&gt;0,CD17=0),0,IF(AND(CB17=1,CD17=0),"!!!есть признак просроченности, включить в списание",IF(CD17&lt;0,"!!!сумма д.б.положительной",IF(CF17&gt;0,"???проверить правильность указания суммы списания, т.к. она меньше сальдо",0)))))</f>
        <v>0</v>
      </c>
      <c r="CH17" s="98">
        <f>IF(CE17=0,0,$CA17-CE17)</f>
        <v>0</v>
      </c>
      <c r="CI17" s="99">
        <f>IF(CH17&lt;0,"!!!сумма к списанию больше суммы сальдо",IF(AND(CB17=1,CD17&lt;&gt;0,CE17=0),0,IF(AND(CB17=1,CE17=0),"!!!есть признак просроченности, включить в списание",IF(CE17&lt;0,"!!!сумма д.б.положительной",IF(CH17&gt;0,"???проверить правильность указания суммы списания, т.к. она меньше сальдо",0)))))</f>
        <v>0</v>
      </c>
      <c r="CJ17" s="101"/>
      <c r="CK17" s="101"/>
      <c r="CL17" s="101"/>
      <c r="CQ17" s="6"/>
      <c r="CS17" s="102">
        <f>IF(OR(DE17="",DE17=0),1,"0")</f>
        <v>1</v>
      </c>
      <c r="CT17" s="103"/>
      <c r="CU17" s="104"/>
      <c r="CV17" s="105"/>
      <c r="CW17" s="82"/>
      <c r="CX17" s="82"/>
      <c r="CY17" s="82"/>
      <c r="CZ17" s="82"/>
      <c r="DA17" s="82"/>
      <c r="DB17" s="82"/>
      <c r="DC17" s="82"/>
      <c r="DD17" s="12"/>
      <c r="DE17" s="82"/>
      <c r="DF17" s="82"/>
      <c r="DG17" s="12"/>
      <c r="DH17" s="12"/>
      <c r="DI17" s="12"/>
      <c r="DJ17" s="12"/>
      <c r="DK17" s="12"/>
      <c r="DL17" s="12"/>
      <c r="DM17" s="12"/>
      <c r="DN17" s="12"/>
      <c r="DO17" s="106"/>
      <c r="DP17" s="80"/>
      <c r="DQ17" s="80"/>
      <c r="DR17" s="94"/>
      <c r="DS17" s="80"/>
      <c r="DT17" s="80"/>
      <c r="DU17" s="80"/>
    </row>
    <row r="18" spans="1:125" ht="14.25" customHeight="1" x14ac:dyDescent="0.25">
      <c r="A18" s="80">
        <f>A17+1</f>
        <v>2</v>
      </c>
      <c r="B18" s="81"/>
      <c r="C18" s="82"/>
      <c r="D18" s="83" t="str">
        <f t="shared" ref="D18:D81" si="24">IF(DE18="","",DE18)</f>
        <v/>
      </c>
      <c r="E18" s="84" t="str">
        <f t="shared" ref="E18:E81" si="25">IF(CU18="","",CU18)</f>
        <v/>
      </c>
      <c r="F18" s="85">
        <f t="shared" ref="F18:G81" si="26">DM18</f>
        <v>0</v>
      </c>
      <c r="G18" s="85">
        <f t="shared" si="9"/>
        <v>0</v>
      </c>
      <c r="H18" s="12"/>
      <c r="I18" s="12"/>
      <c r="J18" s="86">
        <f t="shared" si="10"/>
        <v>0</v>
      </c>
      <c r="K18" s="86">
        <f t="shared" si="10"/>
        <v>0</v>
      </c>
      <c r="L18" s="87"/>
      <c r="M18" s="87"/>
      <c r="N18" s="87"/>
      <c r="O18" s="87"/>
      <c r="P18" s="87"/>
      <c r="Q18" s="87"/>
      <c r="R18" s="87"/>
      <c r="S18" s="87"/>
      <c r="T18" s="86">
        <f t="shared" ref="T18:T81" si="27">J18+L18+N18+P18+R18</f>
        <v>0</v>
      </c>
      <c r="U18" s="86">
        <f t="shared" ref="U18:U81" si="28">K18-M18-O18-Q18-S18</f>
        <v>0</v>
      </c>
      <c r="V18" s="88"/>
      <c r="W18" s="12"/>
      <c r="X18" s="89">
        <f t="shared" si="11"/>
        <v>0</v>
      </c>
      <c r="Y18" s="12"/>
      <c r="Z18" s="89">
        <f t="shared" si="12"/>
        <v>0</v>
      </c>
      <c r="AA18" s="90"/>
      <c r="AB18" s="91" t="str">
        <f t="shared" ref="AB18:AB81" si="29">IF(CV18="","",CV18)</f>
        <v/>
      </c>
      <c r="AC18" s="83" t="str">
        <f t="shared" ref="AC18:AC81" si="30">IF(CY18="","",CY18)</f>
        <v/>
      </c>
      <c r="AD18" s="83" t="str">
        <f t="shared" ref="AD18:AE81" si="31">IF(DC18="","",DC18)</f>
        <v/>
      </c>
      <c r="AE18" s="83" t="str">
        <f t="shared" si="31"/>
        <v/>
      </c>
      <c r="AF18" s="80"/>
      <c r="AG18" s="94"/>
      <c r="AH18" s="94"/>
      <c r="AI18" s="94"/>
      <c r="AJ18" s="86">
        <f t="shared" ref="AJ18:AK81" si="32">T18-AH18</f>
        <v>0</v>
      </c>
      <c r="AK18" s="86">
        <f t="shared" si="32"/>
        <v>0</v>
      </c>
      <c r="AL18" s="94"/>
      <c r="AM18" s="94"/>
      <c r="AN18" s="86">
        <f t="shared" ref="AN18:AO81" si="33">AJ18-AL18</f>
        <v>0</v>
      </c>
      <c r="AO18" s="86">
        <f t="shared" si="33"/>
        <v>0</v>
      </c>
      <c r="AP18" s="94"/>
      <c r="AQ18" s="94"/>
      <c r="AR18" s="86">
        <f t="shared" ref="AR18:AS81" si="34">AN18-AP18</f>
        <v>0</v>
      </c>
      <c r="AS18" s="86">
        <f t="shared" si="34"/>
        <v>0</v>
      </c>
      <c r="AT18" s="94"/>
      <c r="AU18" s="94"/>
      <c r="AV18" s="47"/>
      <c r="AW18" s="89">
        <f t="shared" si="13"/>
        <v>0</v>
      </c>
      <c r="AX18" s="89">
        <f t="shared" si="14"/>
        <v>0</v>
      </c>
      <c r="AY18" s="89">
        <f t="shared" si="15"/>
        <v>0</v>
      </c>
      <c r="AZ18" s="89">
        <f t="shared" si="16"/>
        <v>0</v>
      </c>
      <c r="BA18" s="95"/>
      <c r="BB18" s="96">
        <f t="shared" si="17"/>
        <v>0</v>
      </c>
      <c r="BC18" s="96">
        <f t="shared" si="17"/>
        <v>0</v>
      </c>
      <c r="BD18" s="84" t="str">
        <f t="shared" si="18"/>
        <v/>
      </c>
      <c r="BE18" s="84" t="str">
        <f t="shared" si="18"/>
        <v/>
      </c>
      <c r="BF18" s="88"/>
      <c r="BG18" s="97" t="str">
        <f t="shared" si="19"/>
        <v/>
      </c>
      <c r="BH18" s="88"/>
      <c r="BI18" s="85">
        <f t="shared" si="20"/>
        <v>0</v>
      </c>
      <c r="BJ18" s="85">
        <f t="shared" si="20"/>
        <v>0</v>
      </c>
      <c r="BK18" s="12"/>
      <c r="BL18" s="12"/>
      <c r="BM18" s="98">
        <f t="shared" ref="BM18:BM81" si="35">IF(BK18=0,0,$BI18-BK18)</f>
        <v>0</v>
      </c>
      <c r="BN18" s="99">
        <f t="shared" ref="BN18:BN81" si="36">IF(BM18&lt;0,"!!!сумма к списанию больше суммы сальдо",IF(AND(BH18=1,BL18&lt;&gt;0,BK18=0),0,IF(AND(BH18=1,BK18=0),"!!!есть признак просроченности, включить в списание",IF(BK18&lt;0,"!!!сумма д.б.положительной",IF(BM18&gt;0,"???проверить правильность указания суммы списания, т.к. она меньше сальдо",0)))))</f>
        <v>0</v>
      </c>
      <c r="BO18" s="98">
        <f t="shared" ref="BO18:BO81" si="37">IF(BL18=0,0,$BJ18-BL18)</f>
        <v>0</v>
      </c>
      <c r="BP18" s="99">
        <f t="shared" ref="BP18:BP81" si="38">IF(BO18&lt;0,"!!!сумма к списанию больше суммы сальдо",IF(AND(BH18=1,BK18&lt;&gt;0,BL18=0),0,IF(AND(BH18=1,BL18=0),"!!!есть признак просроченности, включить в списание",IF(BL18&lt;0,"!!!сумма д.б.положительной",IF(BO18&gt;0,"???проверить правильность указания суммы списания, т.к. она меньше сальдо",0)))))</f>
        <v>0</v>
      </c>
      <c r="BQ18" s="12"/>
      <c r="BR18" s="12"/>
      <c r="BS18" s="12"/>
      <c r="BT18" s="12"/>
      <c r="BU18" s="98">
        <f t="shared" si="21"/>
        <v>0</v>
      </c>
      <c r="BV18" s="99">
        <f>IF(BU18&lt;0,"!!! Отрицательное сальдо не допустимо",0)</f>
        <v>0</v>
      </c>
      <c r="BW18" s="98">
        <f t="shared" si="22"/>
        <v>0</v>
      </c>
      <c r="BX18" s="99">
        <f t="shared" si="23"/>
        <v>0</v>
      </c>
      <c r="BY18" s="100"/>
      <c r="BZ18" s="85">
        <f t="shared" ref="BZ18:CA53" si="39">H18</f>
        <v>0</v>
      </c>
      <c r="CA18" s="85">
        <f t="shared" si="39"/>
        <v>0</v>
      </c>
      <c r="CB18" s="88"/>
      <c r="CC18" s="88"/>
      <c r="CD18" s="12"/>
      <c r="CE18" s="12"/>
      <c r="CF18" s="98">
        <f t="shared" ref="CF18:CF81" si="40">IF(CD18=0,0,$BZ18-CD18)</f>
        <v>0</v>
      </c>
      <c r="CG18" s="99">
        <f t="shared" ref="CG18:CG81" si="41">IF(CF18&lt;0,"!!!сумма к списанию больше суммы сальдо",IF(AND(CB18=1,CE18&lt;&gt;0,CD18=0),0,IF(AND(CB18=1,CD18=0),"!!!есть признак просроченности, включить в списание",IF(CD18&lt;0,"!!!сумма д.б.положительной",IF(CF18&gt;0,"???проверить правильность указания суммы списания, т.к. она меньше сальдо",0)))))</f>
        <v>0</v>
      </c>
      <c r="CH18" s="98">
        <f t="shared" ref="CH18:CH81" si="42">IF(CE18=0,0,$CA18-CE18)</f>
        <v>0</v>
      </c>
      <c r="CI18" s="99">
        <f t="shared" ref="CI18:CI81" si="43">IF(CH18&lt;0,"!!!сумма к списанию больше суммы сальдо",IF(AND(CB18=1,CD18&lt;&gt;0,CE18=0),0,IF(AND(CB18=1,CE18=0),"!!!есть признак просроченности, включить в списание",IF(CE18&lt;0,"!!!сумма д.б.положительной",IF(CH18&gt;0,"???проверить правильность указания суммы списания, т.к. она меньше сальдо",0)))))</f>
        <v>0</v>
      </c>
      <c r="CJ18" s="101"/>
      <c r="CK18" s="101"/>
      <c r="CL18" s="101"/>
      <c r="CQ18" s="6"/>
      <c r="CS18" s="102"/>
      <c r="CT18" s="103"/>
      <c r="CU18" s="104"/>
      <c r="CV18" s="105"/>
      <c r="CW18" s="82"/>
      <c r="CX18" s="82"/>
      <c r="CY18" s="82"/>
      <c r="CZ18" s="82"/>
      <c r="DA18" s="82"/>
      <c r="DB18" s="82"/>
      <c r="DC18" s="82"/>
      <c r="DD18" s="12"/>
      <c r="DE18" s="82"/>
      <c r="DF18" s="82"/>
      <c r="DG18" s="12"/>
      <c r="DH18" s="12"/>
      <c r="DI18" s="12"/>
      <c r="DJ18" s="12"/>
      <c r="DK18" s="12"/>
      <c r="DL18" s="12"/>
      <c r="DM18" s="12"/>
      <c r="DN18" s="12"/>
      <c r="DO18" s="106"/>
      <c r="DP18" s="80"/>
      <c r="DQ18" s="80"/>
      <c r="DR18" s="94"/>
      <c r="DS18" s="80"/>
      <c r="DT18" s="80"/>
      <c r="DU18" s="80"/>
    </row>
    <row r="19" spans="1:125" ht="14.25" customHeight="1" x14ac:dyDescent="0.25">
      <c r="A19" s="80">
        <f t="shared" ref="A19:A82" si="44">A18+1</f>
        <v>3</v>
      </c>
      <c r="B19" s="81"/>
      <c r="C19" s="82"/>
      <c r="D19" s="83" t="str">
        <f t="shared" si="24"/>
        <v/>
      </c>
      <c r="E19" s="84" t="str">
        <f t="shared" si="25"/>
        <v/>
      </c>
      <c r="F19" s="85">
        <f t="shared" si="26"/>
        <v>0</v>
      </c>
      <c r="G19" s="85">
        <f t="shared" si="9"/>
        <v>0</v>
      </c>
      <c r="H19" s="12"/>
      <c r="I19" s="12"/>
      <c r="J19" s="86">
        <f t="shared" si="10"/>
        <v>0</v>
      </c>
      <c r="K19" s="86">
        <f t="shared" si="10"/>
        <v>0</v>
      </c>
      <c r="L19" s="87"/>
      <c r="M19" s="87"/>
      <c r="N19" s="87"/>
      <c r="O19" s="87"/>
      <c r="P19" s="87"/>
      <c r="Q19" s="87"/>
      <c r="R19" s="87"/>
      <c r="S19" s="87"/>
      <c r="T19" s="86">
        <f t="shared" si="27"/>
        <v>0</v>
      </c>
      <c r="U19" s="86">
        <f t="shared" si="28"/>
        <v>0</v>
      </c>
      <c r="V19" s="88"/>
      <c r="W19" s="12"/>
      <c r="X19" s="89">
        <f t="shared" si="11"/>
        <v>0</v>
      </c>
      <c r="Y19" s="12"/>
      <c r="Z19" s="89">
        <f t="shared" si="12"/>
        <v>0</v>
      </c>
      <c r="AA19" s="90"/>
      <c r="AB19" s="91" t="str">
        <f t="shared" si="29"/>
        <v/>
      </c>
      <c r="AC19" s="83" t="str">
        <f t="shared" si="30"/>
        <v/>
      </c>
      <c r="AD19" s="83" t="str">
        <f t="shared" si="31"/>
        <v/>
      </c>
      <c r="AE19" s="83" t="str">
        <f t="shared" si="31"/>
        <v/>
      </c>
      <c r="AF19" s="80"/>
      <c r="AG19" s="94"/>
      <c r="AH19" s="94"/>
      <c r="AI19" s="94"/>
      <c r="AJ19" s="86">
        <f t="shared" si="32"/>
        <v>0</v>
      </c>
      <c r="AK19" s="86">
        <f t="shared" si="32"/>
        <v>0</v>
      </c>
      <c r="AL19" s="94"/>
      <c r="AM19" s="94"/>
      <c r="AN19" s="86">
        <f t="shared" si="33"/>
        <v>0</v>
      </c>
      <c r="AO19" s="86">
        <f t="shared" si="33"/>
        <v>0</v>
      </c>
      <c r="AP19" s="94"/>
      <c r="AQ19" s="94"/>
      <c r="AR19" s="86">
        <f t="shared" si="34"/>
        <v>0</v>
      </c>
      <c r="AS19" s="86">
        <f t="shared" si="34"/>
        <v>0</v>
      </c>
      <c r="AT19" s="94"/>
      <c r="AU19" s="94"/>
      <c r="AV19" s="47"/>
      <c r="AW19" s="89">
        <f t="shared" si="13"/>
        <v>0</v>
      </c>
      <c r="AX19" s="89">
        <f t="shared" si="14"/>
        <v>0</v>
      </c>
      <c r="AY19" s="89">
        <f t="shared" si="15"/>
        <v>0</v>
      </c>
      <c r="AZ19" s="89">
        <f t="shared" si="16"/>
        <v>0</v>
      </c>
      <c r="BA19" s="95"/>
      <c r="BB19" s="96">
        <f t="shared" si="17"/>
        <v>0</v>
      </c>
      <c r="BC19" s="96">
        <f t="shared" si="17"/>
        <v>0</v>
      </c>
      <c r="BD19" s="84" t="str">
        <f t="shared" si="18"/>
        <v/>
      </c>
      <c r="BE19" s="84" t="str">
        <f t="shared" si="18"/>
        <v/>
      </c>
      <c r="BF19" s="88"/>
      <c r="BG19" s="97" t="str">
        <f t="shared" si="19"/>
        <v/>
      </c>
      <c r="BH19" s="88"/>
      <c r="BI19" s="85">
        <f t="shared" si="20"/>
        <v>0</v>
      </c>
      <c r="BJ19" s="85">
        <f t="shared" si="20"/>
        <v>0</v>
      </c>
      <c r="BK19" s="12"/>
      <c r="BL19" s="12"/>
      <c r="BM19" s="98">
        <f t="shared" si="35"/>
        <v>0</v>
      </c>
      <c r="BN19" s="99">
        <f t="shared" si="36"/>
        <v>0</v>
      </c>
      <c r="BO19" s="98">
        <f t="shared" si="37"/>
        <v>0</v>
      </c>
      <c r="BP19" s="99">
        <f t="shared" si="38"/>
        <v>0</v>
      </c>
      <c r="BQ19" s="12"/>
      <c r="BR19" s="12"/>
      <c r="BS19" s="12"/>
      <c r="BT19" s="12"/>
      <c r="BU19" s="98">
        <f t="shared" si="21"/>
        <v>0</v>
      </c>
      <c r="BV19" s="99">
        <f>IF(BU19&lt;0,"!!! Отрицательное сальдо не допустимо",0)</f>
        <v>0</v>
      </c>
      <c r="BW19" s="98">
        <f t="shared" si="22"/>
        <v>0</v>
      </c>
      <c r="BX19" s="99">
        <f t="shared" si="23"/>
        <v>0</v>
      </c>
      <c r="BY19" s="100"/>
      <c r="BZ19" s="85">
        <f t="shared" si="39"/>
        <v>0</v>
      </c>
      <c r="CA19" s="85">
        <f t="shared" si="39"/>
        <v>0</v>
      </c>
      <c r="CB19" s="88"/>
      <c r="CC19" s="88"/>
      <c r="CD19" s="12"/>
      <c r="CE19" s="12"/>
      <c r="CF19" s="98">
        <f t="shared" si="40"/>
        <v>0</v>
      </c>
      <c r="CG19" s="99">
        <f t="shared" si="41"/>
        <v>0</v>
      </c>
      <c r="CH19" s="98">
        <f t="shared" si="42"/>
        <v>0</v>
      </c>
      <c r="CI19" s="99">
        <f t="shared" si="43"/>
        <v>0</v>
      </c>
      <c r="CJ19" s="101"/>
      <c r="CK19" s="101"/>
      <c r="CL19" s="101"/>
      <c r="CQ19" s="6"/>
      <c r="CS19" s="102"/>
      <c r="CT19" s="103"/>
      <c r="CU19" s="104"/>
      <c r="CV19" s="105"/>
      <c r="CW19" s="82"/>
      <c r="CX19" s="82"/>
      <c r="CY19" s="82"/>
      <c r="CZ19" s="82"/>
      <c r="DA19" s="82"/>
      <c r="DB19" s="82"/>
      <c r="DC19" s="82"/>
      <c r="DD19" s="12"/>
      <c r="DE19" s="82"/>
      <c r="DF19" s="82"/>
      <c r="DG19" s="12"/>
      <c r="DH19" s="12"/>
      <c r="DI19" s="12"/>
      <c r="DJ19" s="12"/>
      <c r="DK19" s="12"/>
      <c r="DL19" s="12"/>
      <c r="DM19" s="12"/>
      <c r="DN19" s="12"/>
      <c r="DO19" s="106"/>
      <c r="DP19" s="80"/>
      <c r="DQ19" s="80"/>
      <c r="DR19" s="94"/>
      <c r="DS19" s="80"/>
      <c r="DT19" s="80"/>
      <c r="DU19" s="80"/>
    </row>
    <row r="20" spans="1:125" ht="14.25" customHeight="1" x14ac:dyDescent="0.25">
      <c r="A20" s="80">
        <f t="shared" si="44"/>
        <v>4</v>
      </c>
      <c r="B20" s="81"/>
      <c r="C20" s="82"/>
      <c r="D20" s="83" t="str">
        <f t="shared" si="24"/>
        <v/>
      </c>
      <c r="E20" s="84" t="str">
        <f t="shared" si="25"/>
        <v/>
      </c>
      <c r="F20" s="85">
        <f t="shared" si="26"/>
        <v>0</v>
      </c>
      <c r="G20" s="85">
        <f t="shared" si="9"/>
        <v>0</v>
      </c>
      <c r="H20" s="12"/>
      <c r="I20" s="12"/>
      <c r="J20" s="86">
        <f t="shared" si="10"/>
        <v>0</v>
      </c>
      <c r="K20" s="86">
        <f t="shared" si="10"/>
        <v>0</v>
      </c>
      <c r="L20" s="87"/>
      <c r="M20" s="87"/>
      <c r="N20" s="87"/>
      <c r="O20" s="87"/>
      <c r="P20" s="87"/>
      <c r="Q20" s="87"/>
      <c r="R20" s="87"/>
      <c r="S20" s="87"/>
      <c r="T20" s="86">
        <f t="shared" si="27"/>
        <v>0</v>
      </c>
      <c r="U20" s="86">
        <f t="shared" si="28"/>
        <v>0</v>
      </c>
      <c r="V20" s="88"/>
      <c r="W20" s="12"/>
      <c r="X20" s="89">
        <f t="shared" si="11"/>
        <v>0</v>
      </c>
      <c r="Y20" s="12"/>
      <c r="Z20" s="89">
        <f t="shared" si="12"/>
        <v>0</v>
      </c>
      <c r="AA20" s="90"/>
      <c r="AB20" s="91" t="str">
        <f t="shared" si="29"/>
        <v/>
      </c>
      <c r="AC20" s="83" t="str">
        <f t="shared" si="30"/>
        <v/>
      </c>
      <c r="AD20" s="83" t="str">
        <f t="shared" si="31"/>
        <v/>
      </c>
      <c r="AE20" s="83" t="str">
        <f t="shared" si="31"/>
        <v/>
      </c>
      <c r="AF20" s="80"/>
      <c r="AG20" s="94"/>
      <c r="AH20" s="94"/>
      <c r="AI20" s="94"/>
      <c r="AJ20" s="86">
        <f t="shared" si="32"/>
        <v>0</v>
      </c>
      <c r="AK20" s="86">
        <f t="shared" si="32"/>
        <v>0</v>
      </c>
      <c r="AL20" s="94"/>
      <c r="AM20" s="94"/>
      <c r="AN20" s="86">
        <f t="shared" si="33"/>
        <v>0</v>
      </c>
      <c r="AO20" s="86">
        <f t="shared" si="33"/>
        <v>0</v>
      </c>
      <c r="AP20" s="94"/>
      <c r="AQ20" s="94"/>
      <c r="AR20" s="86">
        <f t="shared" si="34"/>
        <v>0</v>
      </c>
      <c r="AS20" s="86">
        <f t="shared" si="34"/>
        <v>0</v>
      </c>
      <c r="AT20" s="94"/>
      <c r="AU20" s="94"/>
      <c r="AW20" s="89">
        <f t="shared" si="13"/>
        <v>0</v>
      </c>
      <c r="AX20" s="89">
        <f t="shared" si="14"/>
        <v>0</v>
      </c>
      <c r="AY20" s="89">
        <f t="shared" si="15"/>
        <v>0</v>
      </c>
      <c r="AZ20" s="89">
        <f t="shared" si="16"/>
        <v>0</v>
      </c>
      <c r="BB20" s="96">
        <f t="shared" si="17"/>
        <v>0</v>
      </c>
      <c r="BC20" s="96">
        <f t="shared" si="17"/>
        <v>0</v>
      </c>
      <c r="BD20" s="84" t="str">
        <f t="shared" si="18"/>
        <v/>
      </c>
      <c r="BE20" s="84" t="str">
        <f t="shared" si="18"/>
        <v/>
      </c>
      <c r="BF20" s="88"/>
      <c r="BG20" s="97" t="str">
        <f t="shared" si="19"/>
        <v/>
      </c>
      <c r="BH20" s="88"/>
      <c r="BI20" s="85">
        <f t="shared" si="20"/>
        <v>0</v>
      </c>
      <c r="BJ20" s="85">
        <f t="shared" si="20"/>
        <v>0</v>
      </c>
      <c r="BK20" s="12"/>
      <c r="BL20" s="12"/>
      <c r="BM20" s="98">
        <f t="shared" si="35"/>
        <v>0</v>
      </c>
      <c r="BN20" s="99">
        <f t="shared" si="36"/>
        <v>0</v>
      </c>
      <c r="BO20" s="98">
        <f t="shared" si="37"/>
        <v>0</v>
      </c>
      <c r="BP20" s="99">
        <f t="shared" si="38"/>
        <v>0</v>
      </c>
      <c r="BQ20" s="12"/>
      <c r="BR20" s="12"/>
      <c r="BS20" s="12"/>
      <c r="BT20" s="12"/>
      <c r="BU20" s="98">
        <f t="shared" si="21"/>
        <v>0</v>
      </c>
      <c r="BV20" s="99">
        <f t="shared" ref="BV20:BV83" si="45">IF(BU20&lt;0,"!!! Отрицательное сальдо не допустимо",0)</f>
        <v>0</v>
      </c>
      <c r="BW20" s="98">
        <f t="shared" si="22"/>
        <v>0</v>
      </c>
      <c r="BX20" s="99">
        <f t="shared" si="23"/>
        <v>0</v>
      </c>
      <c r="BY20" s="100"/>
      <c r="BZ20" s="85">
        <f t="shared" si="39"/>
        <v>0</v>
      </c>
      <c r="CA20" s="85">
        <f t="shared" si="39"/>
        <v>0</v>
      </c>
      <c r="CB20" s="88"/>
      <c r="CC20" s="88"/>
      <c r="CD20" s="12"/>
      <c r="CE20" s="12"/>
      <c r="CF20" s="98">
        <f t="shared" si="40"/>
        <v>0</v>
      </c>
      <c r="CG20" s="99">
        <f t="shared" si="41"/>
        <v>0</v>
      </c>
      <c r="CH20" s="98">
        <f t="shared" si="42"/>
        <v>0</v>
      </c>
      <c r="CI20" s="99">
        <f t="shared" si="43"/>
        <v>0</v>
      </c>
      <c r="CJ20" s="101"/>
      <c r="CK20" s="101"/>
      <c r="CL20" s="101"/>
      <c r="CQ20" s="6"/>
      <c r="CS20" s="102"/>
      <c r="CT20" s="103"/>
      <c r="CU20" s="104"/>
      <c r="CV20" s="105"/>
      <c r="CW20" s="82"/>
      <c r="CX20" s="82"/>
      <c r="CY20" s="82"/>
      <c r="CZ20" s="82"/>
      <c r="DA20" s="82"/>
      <c r="DB20" s="82"/>
      <c r="DC20" s="82"/>
      <c r="DD20" s="12"/>
      <c r="DE20" s="82"/>
      <c r="DF20" s="82"/>
      <c r="DG20" s="12"/>
      <c r="DH20" s="12"/>
      <c r="DI20" s="12"/>
      <c r="DJ20" s="12"/>
      <c r="DK20" s="12"/>
      <c r="DL20" s="12"/>
      <c r="DM20" s="12"/>
      <c r="DN20" s="12"/>
      <c r="DO20" s="106"/>
      <c r="DP20" s="80"/>
      <c r="DQ20" s="80"/>
      <c r="DR20" s="94"/>
      <c r="DS20" s="80"/>
      <c r="DT20" s="80"/>
      <c r="DU20" s="80"/>
    </row>
    <row r="21" spans="1:125" ht="14.25" customHeight="1" x14ac:dyDescent="0.25">
      <c r="A21" s="80">
        <f t="shared" si="44"/>
        <v>5</v>
      </c>
      <c r="B21" s="81"/>
      <c r="C21" s="82"/>
      <c r="D21" s="83" t="str">
        <f t="shared" si="24"/>
        <v/>
      </c>
      <c r="E21" s="84" t="str">
        <f t="shared" si="25"/>
        <v/>
      </c>
      <c r="F21" s="85">
        <f t="shared" si="26"/>
        <v>0</v>
      </c>
      <c r="G21" s="85">
        <f t="shared" si="9"/>
        <v>0</v>
      </c>
      <c r="H21" s="12"/>
      <c r="I21" s="12"/>
      <c r="J21" s="86">
        <f t="shared" si="10"/>
        <v>0</v>
      </c>
      <c r="K21" s="86">
        <f t="shared" si="10"/>
        <v>0</v>
      </c>
      <c r="L21" s="87"/>
      <c r="M21" s="87"/>
      <c r="N21" s="87"/>
      <c r="O21" s="87"/>
      <c r="P21" s="87"/>
      <c r="Q21" s="87"/>
      <c r="R21" s="87"/>
      <c r="S21" s="87"/>
      <c r="T21" s="86">
        <f t="shared" si="27"/>
        <v>0</v>
      </c>
      <c r="U21" s="86">
        <f t="shared" si="28"/>
        <v>0</v>
      </c>
      <c r="V21" s="88"/>
      <c r="W21" s="12"/>
      <c r="X21" s="89">
        <f t="shared" si="11"/>
        <v>0</v>
      </c>
      <c r="Y21" s="12"/>
      <c r="Z21" s="89">
        <f t="shared" si="12"/>
        <v>0</v>
      </c>
      <c r="AA21" s="90"/>
      <c r="AB21" s="91" t="str">
        <f t="shared" si="29"/>
        <v/>
      </c>
      <c r="AC21" s="83" t="str">
        <f t="shared" si="30"/>
        <v/>
      </c>
      <c r="AD21" s="83" t="str">
        <f t="shared" si="31"/>
        <v/>
      </c>
      <c r="AE21" s="83" t="str">
        <f t="shared" si="31"/>
        <v/>
      </c>
      <c r="AF21" s="80"/>
      <c r="AG21" s="94"/>
      <c r="AH21" s="94"/>
      <c r="AI21" s="94"/>
      <c r="AJ21" s="86">
        <f t="shared" si="32"/>
        <v>0</v>
      </c>
      <c r="AK21" s="86">
        <f t="shared" si="32"/>
        <v>0</v>
      </c>
      <c r="AL21" s="94"/>
      <c r="AM21" s="94"/>
      <c r="AN21" s="86">
        <f t="shared" si="33"/>
        <v>0</v>
      </c>
      <c r="AO21" s="86">
        <f t="shared" si="33"/>
        <v>0</v>
      </c>
      <c r="AP21" s="94"/>
      <c r="AQ21" s="94"/>
      <c r="AR21" s="86">
        <f t="shared" si="34"/>
        <v>0</v>
      </c>
      <c r="AS21" s="86">
        <f t="shared" si="34"/>
        <v>0</v>
      </c>
      <c r="AT21" s="94"/>
      <c r="AU21" s="94"/>
      <c r="AW21" s="89">
        <f t="shared" si="13"/>
        <v>0</v>
      </c>
      <c r="AX21" s="89">
        <f t="shared" si="14"/>
        <v>0</v>
      </c>
      <c r="AY21" s="89">
        <f t="shared" si="15"/>
        <v>0</v>
      </c>
      <c r="AZ21" s="89">
        <f t="shared" si="16"/>
        <v>0</v>
      </c>
      <c r="BB21" s="96">
        <f t="shared" si="17"/>
        <v>0</v>
      </c>
      <c r="BC21" s="96">
        <f t="shared" si="17"/>
        <v>0</v>
      </c>
      <c r="BD21" s="84" t="str">
        <f t="shared" si="18"/>
        <v/>
      </c>
      <c r="BE21" s="84" t="str">
        <f t="shared" si="18"/>
        <v/>
      </c>
      <c r="BF21" s="88"/>
      <c r="BG21" s="97" t="str">
        <f t="shared" si="19"/>
        <v/>
      </c>
      <c r="BH21" s="88"/>
      <c r="BI21" s="85">
        <f t="shared" si="20"/>
        <v>0</v>
      </c>
      <c r="BJ21" s="85">
        <f t="shared" si="20"/>
        <v>0</v>
      </c>
      <c r="BK21" s="12"/>
      <c r="BL21" s="12"/>
      <c r="BM21" s="98">
        <f t="shared" si="35"/>
        <v>0</v>
      </c>
      <c r="BN21" s="99">
        <f t="shared" si="36"/>
        <v>0</v>
      </c>
      <c r="BO21" s="98">
        <f t="shared" si="37"/>
        <v>0</v>
      </c>
      <c r="BP21" s="99">
        <f t="shared" si="38"/>
        <v>0</v>
      </c>
      <c r="BQ21" s="12"/>
      <c r="BR21" s="12"/>
      <c r="BS21" s="12"/>
      <c r="BT21" s="12"/>
      <c r="BU21" s="98">
        <f t="shared" si="21"/>
        <v>0</v>
      </c>
      <c r="BV21" s="99">
        <f t="shared" si="45"/>
        <v>0</v>
      </c>
      <c r="BW21" s="98">
        <f t="shared" si="22"/>
        <v>0</v>
      </c>
      <c r="BX21" s="99">
        <f t="shared" si="23"/>
        <v>0</v>
      </c>
      <c r="BY21" s="100"/>
      <c r="BZ21" s="85">
        <f t="shared" si="39"/>
        <v>0</v>
      </c>
      <c r="CA21" s="85">
        <f t="shared" si="39"/>
        <v>0</v>
      </c>
      <c r="CB21" s="88"/>
      <c r="CC21" s="88"/>
      <c r="CD21" s="12"/>
      <c r="CE21" s="12"/>
      <c r="CF21" s="98">
        <f t="shared" si="40"/>
        <v>0</v>
      </c>
      <c r="CG21" s="99">
        <f t="shared" si="41"/>
        <v>0</v>
      </c>
      <c r="CH21" s="98">
        <f t="shared" si="42"/>
        <v>0</v>
      </c>
      <c r="CI21" s="99">
        <f t="shared" si="43"/>
        <v>0</v>
      </c>
      <c r="CJ21" s="101"/>
      <c r="CK21" s="101"/>
      <c r="CL21" s="101"/>
      <c r="CQ21" s="6"/>
      <c r="CS21" s="102"/>
      <c r="CT21" s="103"/>
      <c r="CU21" s="104"/>
      <c r="CV21" s="105"/>
      <c r="CW21" s="82"/>
      <c r="CX21" s="82"/>
      <c r="CY21" s="82"/>
      <c r="CZ21" s="82"/>
      <c r="DA21" s="82"/>
      <c r="DB21" s="82"/>
      <c r="DC21" s="82"/>
      <c r="DD21" s="12"/>
      <c r="DE21" s="82"/>
      <c r="DF21" s="82"/>
      <c r="DG21" s="12"/>
      <c r="DH21" s="12"/>
      <c r="DI21" s="12"/>
      <c r="DJ21" s="12"/>
      <c r="DK21" s="12"/>
      <c r="DL21" s="12"/>
      <c r="DM21" s="12"/>
      <c r="DN21" s="12"/>
      <c r="DO21" s="106"/>
      <c r="DP21" s="80"/>
      <c r="DQ21" s="80"/>
      <c r="DR21" s="94"/>
      <c r="DS21" s="80"/>
      <c r="DT21" s="80"/>
      <c r="DU21" s="80"/>
    </row>
    <row r="22" spans="1:125" ht="14.25" customHeight="1" x14ac:dyDescent="0.25">
      <c r="A22" s="80">
        <f t="shared" si="44"/>
        <v>6</v>
      </c>
      <c r="B22" s="81"/>
      <c r="C22" s="82"/>
      <c r="D22" s="83" t="str">
        <f t="shared" si="24"/>
        <v/>
      </c>
      <c r="E22" s="84" t="str">
        <f t="shared" si="25"/>
        <v/>
      </c>
      <c r="F22" s="85">
        <f t="shared" si="26"/>
        <v>0</v>
      </c>
      <c r="G22" s="85">
        <f t="shared" si="9"/>
        <v>0</v>
      </c>
      <c r="H22" s="12"/>
      <c r="I22" s="12"/>
      <c r="J22" s="86">
        <f t="shared" si="10"/>
        <v>0</v>
      </c>
      <c r="K22" s="86">
        <f t="shared" si="10"/>
        <v>0</v>
      </c>
      <c r="L22" s="87"/>
      <c r="M22" s="87"/>
      <c r="N22" s="87"/>
      <c r="O22" s="87"/>
      <c r="P22" s="87"/>
      <c r="Q22" s="87"/>
      <c r="R22" s="87"/>
      <c r="S22" s="87"/>
      <c r="T22" s="86">
        <f t="shared" si="27"/>
        <v>0</v>
      </c>
      <c r="U22" s="86">
        <f t="shared" si="28"/>
        <v>0</v>
      </c>
      <c r="V22" s="88"/>
      <c r="W22" s="12"/>
      <c r="X22" s="89">
        <f t="shared" si="11"/>
        <v>0</v>
      </c>
      <c r="Y22" s="12"/>
      <c r="Z22" s="89">
        <f t="shared" si="12"/>
        <v>0</v>
      </c>
      <c r="AA22" s="90"/>
      <c r="AB22" s="91" t="str">
        <f t="shared" si="29"/>
        <v/>
      </c>
      <c r="AC22" s="83" t="str">
        <f t="shared" si="30"/>
        <v/>
      </c>
      <c r="AD22" s="83" t="str">
        <f t="shared" si="31"/>
        <v/>
      </c>
      <c r="AE22" s="83" t="str">
        <f t="shared" si="31"/>
        <v/>
      </c>
      <c r="AF22" s="80"/>
      <c r="AG22" s="94"/>
      <c r="AH22" s="94"/>
      <c r="AI22" s="94"/>
      <c r="AJ22" s="86">
        <f t="shared" si="32"/>
        <v>0</v>
      </c>
      <c r="AK22" s="86">
        <f t="shared" si="32"/>
        <v>0</v>
      </c>
      <c r="AL22" s="94"/>
      <c r="AM22" s="94"/>
      <c r="AN22" s="86">
        <f t="shared" si="33"/>
        <v>0</v>
      </c>
      <c r="AO22" s="86">
        <f t="shared" si="33"/>
        <v>0</v>
      </c>
      <c r="AP22" s="94"/>
      <c r="AQ22" s="94"/>
      <c r="AR22" s="86">
        <f t="shared" si="34"/>
        <v>0</v>
      </c>
      <c r="AS22" s="86">
        <f t="shared" si="34"/>
        <v>0</v>
      </c>
      <c r="AT22" s="94"/>
      <c r="AU22" s="94"/>
      <c r="AW22" s="89">
        <f t="shared" si="13"/>
        <v>0</v>
      </c>
      <c r="AX22" s="89">
        <f t="shared" si="14"/>
        <v>0</v>
      </c>
      <c r="AY22" s="89">
        <f t="shared" si="15"/>
        <v>0</v>
      </c>
      <c r="AZ22" s="89">
        <f t="shared" si="16"/>
        <v>0</v>
      </c>
      <c r="BB22" s="96">
        <f t="shared" si="17"/>
        <v>0</v>
      </c>
      <c r="BC22" s="96">
        <f t="shared" si="17"/>
        <v>0</v>
      </c>
      <c r="BD22" s="84" t="str">
        <f t="shared" si="18"/>
        <v/>
      </c>
      <c r="BE22" s="84" t="str">
        <f t="shared" si="18"/>
        <v/>
      </c>
      <c r="BF22" s="88"/>
      <c r="BG22" s="97" t="str">
        <f t="shared" si="19"/>
        <v/>
      </c>
      <c r="BH22" s="88"/>
      <c r="BI22" s="85">
        <f t="shared" si="20"/>
        <v>0</v>
      </c>
      <c r="BJ22" s="85">
        <f t="shared" si="20"/>
        <v>0</v>
      </c>
      <c r="BK22" s="12"/>
      <c r="BL22" s="12"/>
      <c r="BM22" s="98">
        <f t="shared" si="35"/>
        <v>0</v>
      </c>
      <c r="BN22" s="99">
        <f t="shared" si="36"/>
        <v>0</v>
      </c>
      <c r="BO22" s="98">
        <f t="shared" si="37"/>
        <v>0</v>
      </c>
      <c r="BP22" s="99">
        <f t="shared" si="38"/>
        <v>0</v>
      </c>
      <c r="BQ22" s="12"/>
      <c r="BR22" s="12"/>
      <c r="BS22" s="12"/>
      <c r="BT22" s="12"/>
      <c r="BU22" s="98">
        <f t="shared" si="21"/>
        <v>0</v>
      </c>
      <c r="BV22" s="99">
        <f t="shared" si="45"/>
        <v>0</v>
      </c>
      <c r="BW22" s="98">
        <f t="shared" si="22"/>
        <v>0</v>
      </c>
      <c r="BX22" s="99">
        <f t="shared" si="23"/>
        <v>0</v>
      </c>
      <c r="BY22" s="100"/>
      <c r="BZ22" s="85">
        <f t="shared" si="39"/>
        <v>0</v>
      </c>
      <c r="CA22" s="85">
        <f t="shared" si="39"/>
        <v>0</v>
      </c>
      <c r="CB22" s="88"/>
      <c r="CC22" s="88"/>
      <c r="CD22" s="12"/>
      <c r="CE22" s="12"/>
      <c r="CF22" s="98">
        <f t="shared" si="40"/>
        <v>0</v>
      </c>
      <c r="CG22" s="99">
        <f t="shared" si="41"/>
        <v>0</v>
      </c>
      <c r="CH22" s="98">
        <f t="shared" si="42"/>
        <v>0</v>
      </c>
      <c r="CI22" s="99">
        <f t="shared" si="43"/>
        <v>0</v>
      </c>
      <c r="CJ22" s="101"/>
      <c r="CK22" s="101"/>
      <c r="CL22" s="101"/>
      <c r="CQ22" s="6"/>
      <c r="CS22" s="102"/>
      <c r="CT22" s="103"/>
      <c r="CU22" s="104"/>
      <c r="CV22" s="105"/>
      <c r="CW22" s="82"/>
      <c r="CX22" s="82"/>
      <c r="CY22" s="82"/>
      <c r="CZ22" s="82"/>
      <c r="DA22" s="82"/>
      <c r="DB22" s="82"/>
      <c r="DC22" s="82"/>
      <c r="DD22" s="12"/>
      <c r="DE22" s="82"/>
      <c r="DF22" s="82"/>
      <c r="DG22" s="12"/>
      <c r="DH22" s="12"/>
      <c r="DI22" s="12"/>
      <c r="DJ22" s="12"/>
      <c r="DK22" s="12"/>
      <c r="DL22" s="12"/>
      <c r="DM22" s="12"/>
      <c r="DN22" s="12"/>
      <c r="DO22" s="106"/>
      <c r="DP22" s="80"/>
      <c r="DQ22" s="80"/>
      <c r="DR22" s="94"/>
      <c r="DS22" s="80"/>
      <c r="DT22" s="80"/>
      <c r="DU22" s="80"/>
    </row>
    <row r="23" spans="1:125" ht="14.25" customHeight="1" x14ac:dyDescent="0.25">
      <c r="A23" s="80">
        <f t="shared" si="44"/>
        <v>7</v>
      </c>
      <c r="B23" s="81"/>
      <c r="C23" s="82"/>
      <c r="D23" s="83" t="str">
        <f t="shared" si="24"/>
        <v/>
      </c>
      <c r="E23" s="84" t="str">
        <f t="shared" si="25"/>
        <v/>
      </c>
      <c r="F23" s="85">
        <f t="shared" si="26"/>
        <v>0</v>
      </c>
      <c r="G23" s="85">
        <f t="shared" si="9"/>
        <v>0</v>
      </c>
      <c r="H23" s="12"/>
      <c r="I23" s="12"/>
      <c r="J23" s="86">
        <f t="shared" si="10"/>
        <v>0</v>
      </c>
      <c r="K23" s="86">
        <f t="shared" si="10"/>
        <v>0</v>
      </c>
      <c r="L23" s="87"/>
      <c r="M23" s="87"/>
      <c r="N23" s="87"/>
      <c r="O23" s="87"/>
      <c r="P23" s="87"/>
      <c r="Q23" s="87"/>
      <c r="R23" s="87"/>
      <c r="S23" s="87"/>
      <c r="T23" s="86">
        <f t="shared" si="27"/>
        <v>0</v>
      </c>
      <c r="U23" s="86">
        <f t="shared" si="28"/>
        <v>0</v>
      </c>
      <c r="V23" s="88"/>
      <c r="W23" s="12"/>
      <c r="X23" s="89">
        <f t="shared" si="11"/>
        <v>0</v>
      </c>
      <c r="Y23" s="12"/>
      <c r="Z23" s="89">
        <f t="shared" si="12"/>
        <v>0</v>
      </c>
      <c r="AA23" s="90"/>
      <c r="AB23" s="91" t="str">
        <f t="shared" si="29"/>
        <v/>
      </c>
      <c r="AC23" s="83" t="str">
        <f t="shared" si="30"/>
        <v/>
      </c>
      <c r="AD23" s="83" t="str">
        <f t="shared" si="31"/>
        <v/>
      </c>
      <c r="AE23" s="83" t="str">
        <f t="shared" si="31"/>
        <v/>
      </c>
      <c r="AF23" s="80"/>
      <c r="AG23" s="94"/>
      <c r="AH23" s="94"/>
      <c r="AI23" s="94"/>
      <c r="AJ23" s="86">
        <f t="shared" si="32"/>
        <v>0</v>
      </c>
      <c r="AK23" s="86">
        <f t="shared" si="32"/>
        <v>0</v>
      </c>
      <c r="AL23" s="94"/>
      <c r="AM23" s="94"/>
      <c r="AN23" s="86">
        <f t="shared" si="33"/>
        <v>0</v>
      </c>
      <c r="AO23" s="86">
        <f t="shared" si="33"/>
        <v>0</v>
      </c>
      <c r="AP23" s="94"/>
      <c r="AQ23" s="94"/>
      <c r="AR23" s="86">
        <f t="shared" si="34"/>
        <v>0</v>
      </c>
      <c r="AS23" s="86">
        <f t="shared" si="34"/>
        <v>0</v>
      </c>
      <c r="AT23" s="94"/>
      <c r="AU23" s="94"/>
      <c r="AW23" s="89">
        <f t="shared" si="13"/>
        <v>0</v>
      </c>
      <c r="AX23" s="89">
        <f t="shared" si="14"/>
        <v>0</v>
      </c>
      <c r="AY23" s="89">
        <f t="shared" si="15"/>
        <v>0</v>
      </c>
      <c r="AZ23" s="89">
        <f t="shared" si="16"/>
        <v>0</v>
      </c>
      <c r="BB23" s="96">
        <f t="shared" si="17"/>
        <v>0</v>
      </c>
      <c r="BC23" s="96">
        <f t="shared" si="17"/>
        <v>0</v>
      </c>
      <c r="BD23" s="84" t="str">
        <f t="shared" si="18"/>
        <v/>
      </c>
      <c r="BE23" s="84" t="str">
        <f t="shared" si="18"/>
        <v/>
      </c>
      <c r="BF23" s="88"/>
      <c r="BG23" s="97" t="str">
        <f t="shared" si="19"/>
        <v/>
      </c>
      <c r="BH23" s="88"/>
      <c r="BI23" s="85">
        <f t="shared" si="20"/>
        <v>0</v>
      </c>
      <c r="BJ23" s="85">
        <f t="shared" si="20"/>
        <v>0</v>
      </c>
      <c r="BK23" s="12"/>
      <c r="BL23" s="12"/>
      <c r="BM23" s="98">
        <f t="shared" si="35"/>
        <v>0</v>
      </c>
      <c r="BN23" s="99">
        <f t="shared" si="36"/>
        <v>0</v>
      </c>
      <c r="BO23" s="98">
        <f t="shared" si="37"/>
        <v>0</v>
      </c>
      <c r="BP23" s="99">
        <f t="shared" si="38"/>
        <v>0</v>
      </c>
      <c r="BQ23" s="12"/>
      <c r="BR23" s="12"/>
      <c r="BS23" s="12"/>
      <c r="BT23" s="12"/>
      <c r="BU23" s="98">
        <f t="shared" si="21"/>
        <v>0</v>
      </c>
      <c r="BV23" s="99">
        <f t="shared" si="45"/>
        <v>0</v>
      </c>
      <c r="BW23" s="98">
        <f t="shared" si="22"/>
        <v>0</v>
      </c>
      <c r="BX23" s="99">
        <f t="shared" si="23"/>
        <v>0</v>
      </c>
      <c r="BY23" s="100"/>
      <c r="BZ23" s="85">
        <f t="shared" si="39"/>
        <v>0</v>
      </c>
      <c r="CA23" s="85">
        <f t="shared" si="39"/>
        <v>0</v>
      </c>
      <c r="CB23" s="88"/>
      <c r="CC23" s="88"/>
      <c r="CD23" s="12"/>
      <c r="CE23" s="12"/>
      <c r="CF23" s="98">
        <f t="shared" si="40"/>
        <v>0</v>
      </c>
      <c r="CG23" s="99">
        <f t="shared" si="41"/>
        <v>0</v>
      </c>
      <c r="CH23" s="98">
        <f t="shared" si="42"/>
        <v>0</v>
      </c>
      <c r="CI23" s="99">
        <f t="shared" si="43"/>
        <v>0</v>
      </c>
      <c r="CJ23" s="101"/>
      <c r="CK23" s="101"/>
      <c r="CL23" s="101"/>
      <c r="CQ23" s="6"/>
      <c r="CS23" s="102"/>
      <c r="CT23" s="103"/>
      <c r="CU23" s="104"/>
      <c r="CV23" s="105"/>
      <c r="CW23" s="82"/>
      <c r="CX23" s="82"/>
      <c r="CY23" s="82"/>
      <c r="CZ23" s="82"/>
      <c r="DA23" s="82"/>
      <c r="DB23" s="82"/>
      <c r="DC23" s="82"/>
      <c r="DD23" s="12"/>
      <c r="DE23" s="82"/>
      <c r="DF23" s="12"/>
      <c r="DG23" s="12"/>
      <c r="DH23" s="12"/>
      <c r="DI23" s="12"/>
      <c r="DJ23" s="12"/>
      <c r="DK23" s="12"/>
      <c r="DL23" s="12"/>
      <c r="DM23" s="12"/>
      <c r="DN23" s="12"/>
      <c r="DO23" s="106"/>
      <c r="DP23" s="80"/>
      <c r="DQ23" s="80"/>
      <c r="DR23" s="94"/>
      <c r="DS23" s="80"/>
      <c r="DT23" s="80"/>
      <c r="DU23" s="80"/>
    </row>
    <row r="24" spans="1:125" ht="14.25" customHeight="1" x14ac:dyDescent="0.25">
      <c r="A24" s="80">
        <f t="shared" si="44"/>
        <v>8</v>
      </c>
      <c r="B24" s="81"/>
      <c r="C24" s="82"/>
      <c r="D24" s="83" t="str">
        <f t="shared" si="24"/>
        <v/>
      </c>
      <c r="E24" s="84" t="str">
        <f t="shared" si="25"/>
        <v/>
      </c>
      <c r="F24" s="85">
        <f t="shared" si="26"/>
        <v>0</v>
      </c>
      <c r="G24" s="85">
        <f t="shared" si="9"/>
        <v>0</v>
      </c>
      <c r="H24" s="12"/>
      <c r="I24" s="12"/>
      <c r="J24" s="86">
        <f t="shared" si="10"/>
        <v>0</v>
      </c>
      <c r="K24" s="86">
        <f t="shared" si="10"/>
        <v>0</v>
      </c>
      <c r="L24" s="87"/>
      <c r="M24" s="87"/>
      <c r="N24" s="87"/>
      <c r="O24" s="87"/>
      <c r="P24" s="87"/>
      <c r="Q24" s="87"/>
      <c r="R24" s="87"/>
      <c r="S24" s="87"/>
      <c r="T24" s="86">
        <f t="shared" si="27"/>
        <v>0</v>
      </c>
      <c r="U24" s="86">
        <f t="shared" si="28"/>
        <v>0</v>
      </c>
      <c r="V24" s="88"/>
      <c r="W24" s="12"/>
      <c r="X24" s="89">
        <f t="shared" si="11"/>
        <v>0</v>
      </c>
      <c r="Y24" s="12"/>
      <c r="Z24" s="89">
        <f t="shared" si="12"/>
        <v>0</v>
      </c>
      <c r="AA24" s="90"/>
      <c r="AB24" s="91" t="str">
        <f t="shared" si="29"/>
        <v/>
      </c>
      <c r="AC24" s="83" t="str">
        <f t="shared" si="30"/>
        <v/>
      </c>
      <c r="AD24" s="83" t="str">
        <f t="shared" si="31"/>
        <v/>
      </c>
      <c r="AE24" s="83" t="str">
        <f t="shared" si="31"/>
        <v/>
      </c>
      <c r="AF24" s="80"/>
      <c r="AG24" s="94"/>
      <c r="AH24" s="94"/>
      <c r="AI24" s="94"/>
      <c r="AJ24" s="86">
        <f t="shared" si="32"/>
        <v>0</v>
      </c>
      <c r="AK24" s="86">
        <f t="shared" si="32"/>
        <v>0</v>
      </c>
      <c r="AL24" s="94"/>
      <c r="AM24" s="94"/>
      <c r="AN24" s="86">
        <f t="shared" si="33"/>
        <v>0</v>
      </c>
      <c r="AO24" s="86">
        <f t="shared" si="33"/>
        <v>0</v>
      </c>
      <c r="AP24" s="94"/>
      <c r="AQ24" s="94"/>
      <c r="AR24" s="86">
        <f t="shared" si="34"/>
        <v>0</v>
      </c>
      <c r="AS24" s="86">
        <f t="shared" si="34"/>
        <v>0</v>
      </c>
      <c r="AT24" s="94"/>
      <c r="AU24" s="94"/>
      <c r="AW24" s="89">
        <f t="shared" si="13"/>
        <v>0</v>
      </c>
      <c r="AX24" s="89">
        <f t="shared" si="14"/>
        <v>0</v>
      </c>
      <c r="AY24" s="89">
        <f t="shared" si="15"/>
        <v>0</v>
      </c>
      <c r="AZ24" s="89">
        <f t="shared" si="16"/>
        <v>0</v>
      </c>
      <c r="BB24" s="96">
        <f t="shared" si="17"/>
        <v>0</v>
      </c>
      <c r="BC24" s="96">
        <f t="shared" si="17"/>
        <v>0</v>
      </c>
      <c r="BD24" s="84" t="str">
        <f t="shared" si="18"/>
        <v/>
      </c>
      <c r="BE24" s="84" t="str">
        <f t="shared" si="18"/>
        <v/>
      </c>
      <c r="BF24" s="88"/>
      <c r="BG24" s="97" t="str">
        <f t="shared" si="19"/>
        <v/>
      </c>
      <c r="BH24" s="88"/>
      <c r="BI24" s="85">
        <f t="shared" si="20"/>
        <v>0</v>
      </c>
      <c r="BJ24" s="85">
        <f t="shared" si="20"/>
        <v>0</v>
      </c>
      <c r="BK24" s="12"/>
      <c r="BL24" s="12"/>
      <c r="BM24" s="98">
        <f t="shared" si="35"/>
        <v>0</v>
      </c>
      <c r="BN24" s="99">
        <f t="shared" si="36"/>
        <v>0</v>
      </c>
      <c r="BO24" s="98">
        <f t="shared" si="37"/>
        <v>0</v>
      </c>
      <c r="BP24" s="99">
        <f t="shared" si="38"/>
        <v>0</v>
      </c>
      <c r="BQ24" s="12"/>
      <c r="BR24" s="12"/>
      <c r="BS24" s="12"/>
      <c r="BT24" s="12"/>
      <c r="BU24" s="98">
        <f t="shared" si="21"/>
        <v>0</v>
      </c>
      <c r="BV24" s="99">
        <f t="shared" si="45"/>
        <v>0</v>
      </c>
      <c r="BW24" s="98">
        <f t="shared" si="22"/>
        <v>0</v>
      </c>
      <c r="BX24" s="99">
        <f t="shared" si="23"/>
        <v>0</v>
      </c>
      <c r="BY24" s="100"/>
      <c r="BZ24" s="85">
        <f t="shared" si="39"/>
        <v>0</v>
      </c>
      <c r="CA24" s="85">
        <f t="shared" si="39"/>
        <v>0</v>
      </c>
      <c r="CB24" s="88"/>
      <c r="CC24" s="88"/>
      <c r="CD24" s="12"/>
      <c r="CE24" s="12"/>
      <c r="CF24" s="98">
        <f t="shared" si="40"/>
        <v>0</v>
      </c>
      <c r="CG24" s="99">
        <f t="shared" si="41"/>
        <v>0</v>
      </c>
      <c r="CH24" s="98">
        <f t="shared" si="42"/>
        <v>0</v>
      </c>
      <c r="CI24" s="99">
        <f t="shared" si="43"/>
        <v>0</v>
      </c>
      <c r="CJ24" s="101"/>
      <c r="CK24" s="101"/>
      <c r="CL24" s="101"/>
      <c r="CQ24" s="6"/>
      <c r="CS24" s="102"/>
      <c r="CT24" s="103"/>
      <c r="CU24" s="104"/>
      <c r="CV24" s="105"/>
      <c r="CW24" s="82"/>
      <c r="CX24" s="82"/>
      <c r="CY24" s="82"/>
      <c r="CZ24" s="82"/>
      <c r="DA24" s="82"/>
      <c r="DB24" s="82"/>
      <c r="DC24" s="82"/>
      <c r="DD24" s="12"/>
      <c r="DE24" s="82"/>
      <c r="DF24" s="12"/>
      <c r="DG24" s="12"/>
      <c r="DH24" s="12"/>
      <c r="DI24" s="12"/>
      <c r="DJ24" s="12"/>
      <c r="DK24" s="12"/>
      <c r="DL24" s="12"/>
      <c r="DM24" s="12"/>
      <c r="DN24" s="12"/>
      <c r="DO24" s="106"/>
      <c r="DP24" s="80"/>
      <c r="DQ24" s="80"/>
      <c r="DR24" s="94"/>
      <c r="DS24" s="80"/>
      <c r="DT24" s="80"/>
      <c r="DU24" s="80"/>
    </row>
    <row r="25" spans="1:125" ht="14.25" customHeight="1" x14ac:dyDescent="0.25">
      <c r="A25" s="80">
        <f t="shared" si="44"/>
        <v>9</v>
      </c>
      <c r="B25" s="81"/>
      <c r="C25" s="82"/>
      <c r="D25" s="83" t="str">
        <f t="shared" si="24"/>
        <v/>
      </c>
      <c r="E25" s="84" t="str">
        <f t="shared" si="25"/>
        <v/>
      </c>
      <c r="F25" s="85">
        <f t="shared" si="26"/>
        <v>0</v>
      </c>
      <c r="G25" s="85">
        <f t="shared" si="9"/>
        <v>0</v>
      </c>
      <c r="H25" s="12"/>
      <c r="I25" s="12"/>
      <c r="J25" s="86">
        <f t="shared" si="10"/>
        <v>0</v>
      </c>
      <c r="K25" s="86">
        <f t="shared" si="10"/>
        <v>0</v>
      </c>
      <c r="L25" s="87"/>
      <c r="M25" s="87"/>
      <c r="N25" s="87"/>
      <c r="O25" s="87"/>
      <c r="P25" s="87"/>
      <c r="Q25" s="87"/>
      <c r="R25" s="87"/>
      <c r="S25" s="87"/>
      <c r="T25" s="86">
        <f t="shared" si="27"/>
        <v>0</v>
      </c>
      <c r="U25" s="86">
        <f t="shared" si="28"/>
        <v>0</v>
      </c>
      <c r="V25" s="88"/>
      <c r="W25" s="12"/>
      <c r="X25" s="89">
        <f t="shared" si="11"/>
        <v>0</v>
      </c>
      <c r="Y25" s="12"/>
      <c r="Z25" s="89">
        <f t="shared" si="12"/>
        <v>0</v>
      </c>
      <c r="AA25" s="90"/>
      <c r="AB25" s="91" t="str">
        <f t="shared" si="29"/>
        <v/>
      </c>
      <c r="AC25" s="83" t="str">
        <f t="shared" si="30"/>
        <v/>
      </c>
      <c r="AD25" s="83" t="str">
        <f t="shared" si="31"/>
        <v/>
      </c>
      <c r="AE25" s="83" t="str">
        <f t="shared" si="31"/>
        <v/>
      </c>
      <c r="AF25" s="80"/>
      <c r="AG25" s="94"/>
      <c r="AH25" s="94"/>
      <c r="AI25" s="94"/>
      <c r="AJ25" s="86">
        <f t="shared" si="32"/>
        <v>0</v>
      </c>
      <c r="AK25" s="86">
        <f t="shared" si="32"/>
        <v>0</v>
      </c>
      <c r="AL25" s="94"/>
      <c r="AM25" s="94"/>
      <c r="AN25" s="86">
        <f t="shared" si="33"/>
        <v>0</v>
      </c>
      <c r="AO25" s="86">
        <f t="shared" si="33"/>
        <v>0</v>
      </c>
      <c r="AP25" s="94"/>
      <c r="AQ25" s="94"/>
      <c r="AR25" s="86">
        <f t="shared" si="34"/>
        <v>0</v>
      </c>
      <c r="AS25" s="86">
        <f t="shared" si="34"/>
        <v>0</v>
      </c>
      <c r="AT25" s="94"/>
      <c r="AU25" s="94"/>
      <c r="AW25" s="89">
        <f t="shared" si="13"/>
        <v>0</v>
      </c>
      <c r="AX25" s="89">
        <f t="shared" si="14"/>
        <v>0</v>
      </c>
      <c r="AY25" s="89">
        <f t="shared" si="15"/>
        <v>0</v>
      </c>
      <c r="AZ25" s="89">
        <f t="shared" si="16"/>
        <v>0</v>
      </c>
      <c r="BB25" s="96">
        <f t="shared" si="17"/>
        <v>0</v>
      </c>
      <c r="BC25" s="96">
        <f t="shared" si="17"/>
        <v>0</v>
      </c>
      <c r="BD25" s="84" t="str">
        <f t="shared" si="18"/>
        <v/>
      </c>
      <c r="BE25" s="84" t="str">
        <f t="shared" si="18"/>
        <v/>
      </c>
      <c r="BF25" s="88"/>
      <c r="BG25" s="97" t="str">
        <f t="shared" si="19"/>
        <v/>
      </c>
      <c r="BH25" s="88"/>
      <c r="BI25" s="85">
        <f t="shared" si="20"/>
        <v>0</v>
      </c>
      <c r="BJ25" s="85">
        <f t="shared" si="20"/>
        <v>0</v>
      </c>
      <c r="BK25" s="12"/>
      <c r="BL25" s="12"/>
      <c r="BM25" s="98">
        <f t="shared" si="35"/>
        <v>0</v>
      </c>
      <c r="BN25" s="99">
        <f t="shared" si="36"/>
        <v>0</v>
      </c>
      <c r="BO25" s="98">
        <f t="shared" si="37"/>
        <v>0</v>
      </c>
      <c r="BP25" s="99">
        <f t="shared" si="38"/>
        <v>0</v>
      </c>
      <c r="BQ25" s="12"/>
      <c r="BR25" s="12"/>
      <c r="BS25" s="12"/>
      <c r="BT25" s="12"/>
      <c r="BU25" s="98">
        <f t="shared" si="21"/>
        <v>0</v>
      </c>
      <c r="BV25" s="99">
        <f t="shared" si="45"/>
        <v>0</v>
      </c>
      <c r="BW25" s="98">
        <f t="shared" si="22"/>
        <v>0</v>
      </c>
      <c r="BX25" s="99">
        <f t="shared" si="23"/>
        <v>0</v>
      </c>
      <c r="BY25" s="100"/>
      <c r="BZ25" s="85">
        <f t="shared" si="39"/>
        <v>0</v>
      </c>
      <c r="CA25" s="85">
        <f t="shared" si="39"/>
        <v>0</v>
      </c>
      <c r="CB25" s="88"/>
      <c r="CC25" s="88"/>
      <c r="CD25" s="12"/>
      <c r="CE25" s="12"/>
      <c r="CF25" s="98">
        <f t="shared" si="40"/>
        <v>0</v>
      </c>
      <c r="CG25" s="99">
        <f t="shared" si="41"/>
        <v>0</v>
      </c>
      <c r="CH25" s="98">
        <f t="shared" si="42"/>
        <v>0</v>
      </c>
      <c r="CI25" s="99">
        <f t="shared" si="43"/>
        <v>0</v>
      </c>
      <c r="CJ25" s="101"/>
      <c r="CK25" s="101"/>
      <c r="CL25" s="101"/>
      <c r="CQ25" s="6"/>
      <c r="CS25" s="102"/>
      <c r="CT25" s="103"/>
      <c r="CU25" s="82"/>
      <c r="CV25" s="105"/>
      <c r="CW25" s="82"/>
      <c r="CX25" s="82"/>
      <c r="CY25" s="82"/>
      <c r="CZ25" s="82"/>
      <c r="DA25" s="82"/>
      <c r="DB25" s="82"/>
      <c r="DC25" s="82"/>
      <c r="DD25" s="12"/>
      <c r="DE25" s="82"/>
      <c r="DF25" s="12"/>
      <c r="DG25" s="12"/>
      <c r="DH25" s="12"/>
      <c r="DI25" s="12"/>
      <c r="DJ25" s="12"/>
      <c r="DK25" s="12"/>
      <c r="DL25" s="12"/>
      <c r="DM25" s="12"/>
      <c r="DN25" s="12"/>
      <c r="DO25" s="106"/>
      <c r="DP25" s="80"/>
      <c r="DQ25" s="80"/>
      <c r="DR25" s="94"/>
      <c r="DS25" s="80"/>
      <c r="DT25" s="80"/>
      <c r="DU25" s="80"/>
    </row>
    <row r="26" spans="1:125" ht="14.25" customHeight="1" x14ac:dyDescent="0.25">
      <c r="A26" s="80">
        <f t="shared" si="44"/>
        <v>10</v>
      </c>
      <c r="B26" s="81"/>
      <c r="C26" s="82"/>
      <c r="D26" s="83" t="str">
        <f t="shared" si="24"/>
        <v/>
      </c>
      <c r="E26" s="84" t="str">
        <f t="shared" si="25"/>
        <v/>
      </c>
      <c r="F26" s="85">
        <f t="shared" si="26"/>
        <v>0</v>
      </c>
      <c r="G26" s="85">
        <f t="shared" si="9"/>
        <v>0</v>
      </c>
      <c r="H26" s="12"/>
      <c r="I26" s="12"/>
      <c r="J26" s="86">
        <f t="shared" si="10"/>
        <v>0</v>
      </c>
      <c r="K26" s="86">
        <f t="shared" si="10"/>
        <v>0</v>
      </c>
      <c r="L26" s="87"/>
      <c r="M26" s="87"/>
      <c r="N26" s="87"/>
      <c r="O26" s="87"/>
      <c r="P26" s="87"/>
      <c r="Q26" s="87"/>
      <c r="R26" s="87"/>
      <c r="S26" s="87"/>
      <c r="T26" s="86">
        <f t="shared" si="27"/>
        <v>0</v>
      </c>
      <c r="U26" s="86">
        <f t="shared" si="28"/>
        <v>0</v>
      </c>
      <c r="V26" s="88"/>
      <c r="W26" s="12"/>
      <c r="X26" s="89">
        <f t="shared" si="11"/>
        <v>0</v>
      </c>
      <c r="Y26" s="12"/>
      <c r="Z26" s="89">
        <f t="shared" si="12"/>
        <v>0</v>
      </c>
      <c r="AA26" s="90"/>
      <c r="AB26" s="91" t="str">
        <f t="shared" si="29"/>
        <v/>
      </c>
      <c r="AC26" s="83" t="str">
        <f t="shared" si="30"/>
        <v/>
      </c>
      <c r="AD26" s="83" t="str">
        <f t="shared" si="31"/>
        <v/>
      </c>
      <c r="AE26" s="83" t="str">
        <f t="shared" si="31"/>
        <v/>
      </c>
      <c r="AF26" s="80"/>
      <c r="AG26" s="94"/>
      <c r="AH26" s="94"/>
      <c r="AI26" s="94"/>
      <c r="AJ26" s="86">
        <f t="shared" si="32"/>
        <v>0</v>
      </c>
      <c r="AK26" s="86">
        <f t="shared" si="32"/>
        <v>0</v>
      </c>
      <c r="AL26" s="94"/>
      <c r="AM26" s="94"/>
      <c r="AN26" s="86">
        <f t="shared" si="33"/>
        <v>0</v>
      </c>
      <c r="AO26" s="86">
        <f t="shared" si="33"/>
        <v>0</v>
      </c>
      <c r="AP26" s="94"/>
      <c r="AQ26" s="94"/>
      <c r="AR26" s="86">
        <f t="shared" si="34"/>
        <v>0</v>
      </c>
      <c r="AS26" s="86">
        <f t="shared" si="34"/>
        <v>0</v>
      </c>
      <c r="AT26" s="94"/>
      <c r="AU26" s="94"/>
      <c r="AW26" s="89">
        <f t="shared" si="13"/>
        <v>0</v>
      </c>
      <c r="AX26" s="89">
        <f t="shared" si="14"/>
        <v>0</v>
      </c>
      <c r="AY26" s="89">
        <f t="shared" si="15"/>
        <v>0</v>
      </c>
      <c r="AZ26" s="89">
        <f t="shared" si="16"/>
        <v>0</v>
      </c>
      <c r="BB26" s="96">
        <f t="shared" si="17"/>
        <v>0</v>
      </c>
      <c r="BC26" s="96">
        <f t="shared" si="17"/>
        <v>0</v>
      </c>
      <c r="BD26" s="84" t="str">
        <f t="shared" si="18"/>
        <v/>
      </c>
      <c r="BE26" s="84" t="str">
        <f t="shared" si="18"/>
        <v/>
      </c>
      <c r="BF26" s="88"/>
      <c r="BG26" s="97" t="str">
        <f t="shared" si="19"/>
        <v/>
      </c>
      <c r="BH26" s="88"/>
      <c r="BI26" s="85">
        <f t="shared" si="20"/>
        <v>0</v>
      </c>
      <c r="BJ26" s="85">
        <f t="shared" si="20"/>
        <v>0</v>
      </c>
      <c r="BK26" s="12"/>
      <c r="BL26" s="12"/>
      <c r="BM26" s="98">
        <f t="shared" si="35"/>
        <v>0</v>
      </c>
      <c r="BN26" s="99">
        <f t="shared" si="36"/>
        <v>0</v>
      </c>
      <c r="BO26" s="98">
        <f t="shared" si="37"/>
        <v>0</v>
      </c>
      <c r="BP26" s="99">
        <f t="shared" si="38"/>
        <v>0</v>
      </c>
      <c r="BQ26" s="12"/>
      <c r="BR26" s="12"/>
      <c r="BS26" s="12"/>
      <c r="BT26" s="12"/>
      <c r="BU26" s="98">
        <f>IF((BQ26+BR26)=0,0,$BI26+(BQ26+BR26))</f>
        <v>0</v>
      </c>
      <c r="BV26" s="99">
        <f t="shared" si="45"/>
        <v>0</v>
      </c>
      <c r="BW26" s="98">
        <f>IF((BS26+BT26)=0,0,$BJ26+(BS26+BT26))</f>
        <v>0</v>
      </c>
      <c r="BX26" s="99">
        <f t="shared" si="23"/>
        <v>0</v>
      </c>
      <c r="BY26" s="100"/>
      <c r="BZ26" s="85">
        <f t="shared" si="39"/>
        <v>0</v>
      </c>
      <c r="CA26" s="85">
        <f t="shared" si="39"/>
        <v>0</v>
      </c>
      <c r="CB26" s="88"/>
      <c r="CC26" s="88"/>
      <c r="CD26" s="12"/>
      <c r="CE26" s="12"/>
      <c r="CF26" s="98">
        <f t="shared" si="40"/>
        <v>0</v>
      </c>
      <c r="CG26" s="99">
        <f t="shared" si="41"/>
        <v>0</v>
      </c>
      <c r="CH26" s="98">
        <f t="shared" si="42"/>
        <v>0</v>
      </c>
      <c r="CI26" s="99">
        <f t="shared" si="43"/>
        <v>0</v>
      </c>
      <c r="CJ26" s="101"/>
      <c r="CK26" s="101"/>
      <c r="CL26" s="101"/>
      <c r="CQ26" s="6"/>
      <c r="CS26" s="102"/>
      <c r="CT26" s="103"/>
      <c r="CU26" s="104"/>
      <c r="CV26" s="105"/>
      <c r="CW26" s="82"/>
      <c r="CX26" s="82"/>
      <c r="CY26" s="82"/>
      <c r="CZ26" s="82"/>
      <c r="DA26" s="82"/>
      <c r="DB26" s="82"/>
      <c r="DC26" s="82"/>
      <c r="DD26" s="12"/>
      <c r="DE26" s="82"/>
      <c r="DF26" s="12"/>
      <c r="DG26" s="12"/>
      <c r="DH26" s="12"/>
      <c r="DI26" s="12"/>
      <c r="DJ26" s="12"/>
      <c r="DK26" s="12"/>
      <c r="DL26" s="12"/>
      <c r="DM26" s="12"/>
      <c r="DN26" s="12"/>
      <c r="DO26" s="106"/>
      <c r="DP26" s="80"/>
      <c r="DQ26" s="80"/>
      <c r="DR26" s="94"/>
      <c r="DS26" s="80"/>
      <c r="DT26" s="80"/>
      <c r="DU26" s="80"/>
    </row>
    <row r="27" spans="1:125" ht="14.25" customHeight="1" x14ac:dyDescent="0.25">
      <c r="A27" s="80">
        <f t="shared" si="44"/>
        <v>11</v>
      </c>
      <c r="B27" s="81"/>
      <c r="C27" s="82"/>
      <c r="D27" s="83" t="str">
        <f t="shared" si="24"/>
        <v/>
      </c>
      <c r="E27" s="84" t="str">
        <f t="shared" si="25"/>
        <v/>
      </c>
      <c r="F27" s="85">
        <f t="shared" si="26"/>
        <v>0</v>
      </c>
      <c r="G27" s="85">
        <f t="shared" si="9"/>
        <v>0</v>
      </c>
      <c r="H27" s="12"/>
      <c r="I27" s="12"/>
      <c r="J27" s="86">
        <f t="shared" si="10"/>
        <v>0</v>
      </c>
      <c r="K27" s="86">
        <f t="shared" si="10"/>
        <v>0</v>
      </c>
      <c r="L27" s="87"/>
      <c r="M27" s="87"/>
      <c r="N27" s="87"/>
      <c r="O27" s="87"/>
      <c r="P27" s="87"/>
      <c r="Q27" s="87"/>
      <c r="R27" s="87"/>
      <c r="S27" s="87"/>
      <c r="T27" s="86">
        <f t="shared" si="27"/>
        <v>0</v>
      </c>
      <c r="U27" s="86">
        <f t="shared" si="28"/>
        <v>0</v>
      </c>
      <c r="V27" s="88"/>
      <c r="W27" s="12"/>
      <c r="X27" s="89">
        <f t="shared" si="11"/>
        <v>0</v>
      </c>
      <c r="Y27" s="12"/>
      <c r="Z27" s="89">
        <f t="shared" si="12"/>
        <v>0</v>
      </c>
      <c r="AA27" s="90"/>
      <c r="AB27" s="91" t="str">
        <f t="shared" si="29"/>
        <v/>
      </c>
      <c r="AC27" s="83" t="str">
        <f t="shared" si="30"/>
        <v/>
      </c>
      <c r="AD27" s="83" t="str">
        <f t="shared" si="31"/>
        <v/>
      </c>
      <c r="AE27" s="83" t="str">
        <f t="shared" si="31"/>
        <v/>
      </c>
      <c r="AF27" s="80"/>
      <c r="AG27" s="94"/>
      <c r="AH27" s="94"/>
      <c r="AI27" s="94"/>
      <c r="AJ27" s="86">
        <f t="shared" si="32"/>
        <v>0</v>
      </c>
      <c r="AK27" s="86">
        <f t="shared" si="32"/>
        <v>0</v>
      </c>
      <c r="AL27" s="94"/>
      <c r="AM27" s="94"/>
      <c r="AN27" s="86">
        <f t="shared" si="33"/>
        <v>0</v>
      </c>
      <c r="AO27" s="86">
        <f t="shared" si="33"/>
        <v>0</v>
      </c>
      <c r="AP27" s="94"/>
      <c r="AQ27" s="94"/>
      <c r="AR27" s="86">
        <f t="shared" si="34"/>
        <v>0</v>
      </c>
      <c r="AS27" s="86">
        <f t="shared" si="34"/>
        <v>0</v>
      </c>
      <c r="AT27" s="94"/>
      <c r="AU27" s="94"/>
      <c r="AW27" s="89">
        <f t="shared" si="13"/>
        <v>0</v>
      </c>
      <c r="AX27" s="89">
        <f t="shared" si="14"/>
        <v>0</v>
      </c>
      <c r="AY27" s="89">
        <f t="shared" si="15"/>
        <v>0</v>
      </c>
      <c r="AZ27" s="89">
        <f t="shared" si="16"/>
        <v>0</v>
      </c>
      <c r="BB27" s="96">
        <f t="shared" si="17"/>
        <v>0</v>
      </c>
      <c r="BC27" s="96">
        <f t="shared" si="17"/>
        <v>0</v>
      </c>
      <c r="BD27" s="84" t="str">
        <f t="shared" si="18"/>
        <v/>
      </c>
      <c r="BE27" s="84" t="str">
        <f t="shared" si="18"/>
        <v/>
      </c>
      <c r="BF27" s="88"/>
      <c r="BG27" s="97" t="str">
        <f t="shared" si="19"/>
        <v/>
      </c>
      <c r="BH27" s="88"/>
      <c r="BI27" s="85">
        <f t="shared" si="20"/>
        <v>0</v>
      </c>
      <c r="BJ27" s="85">
        <f t="shared" si="20"/>
        <v>0</v>
      </c>
      <c r="BK27" s="12"/>
      <c r="BL27" s="12"/>
      <c r="BM27" s="98">
        <f t="shared" si="35"/>
        <v>0</v>
      </c>
      <c r="BN27" s="99">
        <f t="shared" si="36"/>
        <v>0</v>
      </c>
      <c r="BO27" s="98">
        <f t="shared" si="37"/>
        <v>0</v>
      </c>
      <c r="BP27" s="99">
        <f t="shared" si="38"/>
        <v>0</v>
      </c>
      <c r="BQ27" s="12"/>
      <c r="BR27" s="12"/>
      <c r="BS27" s="12"/>
      <c r="BT27" s="12"/>
      <c r="BU27" s="98">
        <f t="shared" ref="BU27:BU90" si="46">IF((BQ27+BR27)=0,0,$BI27+(BQ27+BR27))</f>
        <v>0</v>
      </c>
      <c r="BV27" s="99">
        <f t="shared" si="45"/>
        <v>0</v>
      </c>
      <c r="BW27" s="98">
        <f t="shared" ref="BW27:BW90" si="47">IF((BS27+BT27)=0,0,$BJ27+(BS27+BT27))</f>
        <v>0</v>
      </c>
      <c r="BX27" s="99">
        <f t="shared" si="23"/>
        <v>0</v>
      </c>
      <c r="BY27" s="105"/>
      <c r="BZ27" s="85">
        <f t="shared" si="39"/>
        <v>0</v>
      </c>
      <c r="CA27" s="85">
        <f t="shared" si="39"/>
        <v>0</v>
      </c>
      <c r="CB27" s="88"/>
      <c r="CC27" s="88"/>
      <c r="CD27" s="12"/>
      <c r="CE27" s="12"/>
      <c r="CF27" s="98">
        <f t="shared" si="40"/>
        <v>0</v>
      </c>
      <c r="CG27" s="99">
        <f t="shared" si="41"/>
        <v>0</v>
      </c>
      <c r="CH27" s="98">
        <f t="shared" si="42"/>
        <v>0</v>
      </c>
      <c r="CI27" s="99">
        <f t="shared" si="43"/>
        <v>0</v>
      </c>
      <c r="CJ27" s="101"/>
      <c r="CK27" s="101"/>
      <c r="CL27" s="101"/>
      <c r="CQ27" s="6"/>
      <c r="CS27" s="102"/>
      <c r="CT27" s="103"/>
      <c r="CU27" s="104"/>
      <c r="CV27" s="105"/>
      <c r="CW27" s="82"/>
      <c r="CX27" s="82"/>
      <c r="CY27" s="82"/>
      <c r="CZ27" s="82"/>
      <c r="DA27" s="82"/>
      <c r="DB27" s="82"/>
      <c r="DC27" s="82"/>
      <c r="DD27" s="12"/>
      <c r="DE27" s="82"/>
      <c r="DF27" s="12"/>
      <c r="DG27" s="12"/>
      <c r="DH27" s="12"/>
      <c r="DI27" s="12"/>
      <c r="DJ27" s="12"/>
      <c r="DK27" s="12"/>
      <c r="DL27" s="12"/>
      <c r="DM27" s="12"/>
      <c r="DN27" s="12"/>
      <c r="DO27" s="106"/>
      <c r="DP27" s="80"/>
      <c r="DQ27" s="80"/>
      <c r="DR27" s="94"/>
      <c r="DS27" s="80"/>
      <c r="DT27" s="80"/>
      <c r="DU27" s="80"/>
    </row>
    <row r="28" spans="1:125" ht="14.25" customHeight="1" x14ac:dyDescent="0.25">
      <c r="A28" s="80">
        <f t="shared" si="44"/>
        <v>12</v>
      </c>
      <c r="B28" s="81"/>
      <c r="C28" s="82"/>
      <c r="D28" s="83" t="str">
        <f t="shared" si="24"/>
        <v/>
      </c>
      <c r="E28" s="84" t="str">
        <f t="shared" si="25"/>
        <v/>
      </c>
      <c r="F28" s="85">
        <f t="shared" si="26"/>
        <v>0</v>
      </c>
      <c r="G28" s="85">
        <f t="shared" si="9"/>
        <v>0</v>
      </c>
      <c r="H28" s="12"/>
      <c r="I28" s="12"/>
      <c r="J28" s="86">
        <f t="shared" si="10"/>
        <v>0</v>
      </c>
      <c r="K28" s="86">
        <f t="shared" si="10"/>
        <v>0</v>
      </c>
      <c r="L28" s="87"/>
      <c r="M28" s="87"/>
      <c r="N28" s="87"/>
      <c r="O28" s="87"/>
      <c r="P28" s="87"/>
      <c r="Q28" s="87"/>
      <c r="R28" s="87"/>
      <c r="S28" s="87"/>
      <c r="T28" s="86">
        <f t="shared" si="27"/>
        <v>0</v>
      </c>
      <c r="U28" s="86">
        <f t="shared" si="28"/>
        <v>0</v>
      </c>
      <c r="V28" s="88"/>
      <c r="W28" s="12"/>
      <c r="X28" s="89">
        <f t="shared" si="11"/>
        <v>0</v>
      </c>
      <c r="Y28" s="12"/>
      <c r="Z28" s="89">
        <f t="shared" si="12"/>
        <v>0</v>
      </c>
      <c r="AA28" s="90"/>
      <c r="AB28" s="91" t="str">
        <f t="shared" si="29"/>
        <v/>
      </c>
      <c r="AC28" s="83" t="str">
        <f t="shared" si="30"/>
        <v/>
      </c>
      <c r="AD28" s="83" t="str">
        <f t="shared" si="31"/>
        <v/>
      </c>
      <c r="AE28" s="83" t="str">
        <f t="shared" si="31"/>
        <v/>
      </c>
      <c r="AF28" s="80"/>
      <c r="AG28" s="94"/>
      <c r="AH28" s="94"/>
      <c r="AI28" s="94"/>
      <c r="AJ28" s="86">
        <f t="shared" si="32"/>
        <v>0</v>
      </c>
      <c r="AK28" s="86">
        <f t="shared" si="32"/>
        <v>0</v>
      </c>
      <c r="AL28" s="94"/>
      <c r="AM28" s="94"/>
      <c r="AN28" s="86">
        <f t="shared" si="33"/>
        <v>0</v>
      </c>
      <c r="AO28" s="86">
        <f t="shared" si="33"/>
        <v>0</v>
      </c>
      <c r="AP28" s="94"/>
      <c r="AQ28" s="94"/>
      <c r="AR28" s="86">
        <f t="shared" si="34"/>
        <v>0</v>
      </c>
      <c r="AS28" s="86">
        <f t="shared" si="34"/>
        <v>0</v>
      </c>
      <c r="AT28" s="94"/>
      <c r="AU28" s="94"/>
      <c r="AW28" s="89">
        <f t="shared" si="13"/>
        <v>0</v>
      </c>
      <c r="AX28" s="89">
        <f t="shared" si="14"/>
        <v>0</v>
      </c>
      <c r="AY28" s="89">
        <f t="shared" si="15"/>
        <v>0</v>
      </c>
      <c r="AZ28" s="89">
        <f t="shared" si="16"/>
        <v>0</v>
      </c>
      <c r="BB28" s="96">
        <f t="shared" si="17"/>
        <v>0</v>
      </c>
      <c r="BC28" s="96">
        <f t="shared" si="17"/>
        <v>0</v>
      </c>
      <c r="BD28" s="84" t="str">
        <f t="shared" si="18"/>
        <v/>
      </c>
      <c r="BE28" s="84" t="str">
        <f t="shared" si="18"/>
        <v/>
      </c>
      <c r="BF28" s="88"/>
      <c r="BG28" s="97" t="str">
        <f t="shared" si="19"/>
        <v/>
      </c>
      <c r="BH28" s="88"/>
      <c r="BI28" s="85">
        <f t="shared" si="20"/>
        <v>0</v>
      </c>
      <c r="BJ28" s="85">
        <f t="shared" si="20"/>
        <v>0</v>
      </c>
      <c r="BK28" s="12"/>
      <c r="BL28" s="12"/>
      <c r="BM28" s="98">
        <f t="shared" si="35"/>
        <v>0</v>
      </c>
      <c r="BN28" s="99">
        <f t="shared" si="36"/>
        <v>0</v>
      </c>
      <c r="BO28" s="98">
        <f t="shared" si="37"/>
        <v>0</v>
      </c>
      <c r="BP28" s="99">
        <f t="shared" si="38"/>
        <v>0</v>
      </c>
      <c r="BQ28" s="12"/>
      <c r="BR28" s="12"/>
      <c r="BS28" s="12"/>
      <c r="BT28" s="12"/>
      <c r="BU28" s="98">
        <f t="shared" si="46"/>
        <v>0</v>
      </c>
      <c r="BV28" s="99">
        <f t="shared" si="45"/>
        <v>0</v>
      </c>
      <c r="BW28" s="98">
        <f t="shared" si="47"/>
        <v>0</v>
      </c>
      <c r="BX28" s="99">
        <f t="shared" si="23"/>
        <v>0</v>
      </c>
      <c r="BY28" s="105"/>
      <c r="BZ28" s="85">
        <f t="shared" si="39"/>
        <v>0</v>
      </c>
      <c r="CA28" s="85">
        <f t="shared" si="39"/>
        <v>0</v>
      </c>
      <c r="CB28" s="88"/>
      <c r="CC28" s="88"/>
      <c r="CD28" s="12"/>
      <c r="CE28" s="12"/>
      <c r="CF28" s="98">
        <f t="shared" si="40"/>
        <v>0</v>
      </c>
      <c r="CG28" s="99">
        <f t="shared" si="41"/>
        <v>0</v>
      </c>
      <c r="CH28" s="98">
        <f t="shared" si="42"/>
        <v>0</v>
      </c>
      <c r="CI28" s="99">
        <f t="shared" si="43"/>
        <v>0</v>
      </c>
      <c r="CJ28" s="101"/>
      <c r="CK28" s="101"/>
      <c r="CL28" s="101"/>
      <c r="CQ28" s="6"/>
      <c r="CS28" s="102"/>
      <c r="CT28" s="103"/>
      <c r="CU28" s="104"/>
      <c r="CV28" s="105"/>
      <c r="CW28" s="82"/>
      <c r="CX28" s="82"/>
      <c r="CY28" s="82"/>
      <c r="CZ28" s="82"/>
      <c r="DA28" s="82"/>
      <c r="DB28" s="82"/>
      <c r="DC28" s="82"/>
      <c r="DD28" s="12"/>
      <c r="DE28" s="82"/>
      <c r="DF28" s="12"/>
      <c r="DG28" s="12"/>
      <c r="DH28" s="12"/>
      <c r="DI28" s="12"/>
      <c r="DJ28" s="12"/>
      <c r="DK28" s="12"/>
      <c r="DL28" s="12"/>
      <c r="DM28" s="12"/>
      <c r="DN28" s="12"/>
      <c r="DO28" s="106"/>
      <c r="DP28" s="80"/>
      <c r="DQ28" s="80"/>
      <c r="DR28" s="94"/>
      <c r="DS28" s="80"/>
      <c r="DT28" s="80"/>
      <c r="DU28" s="80"/>
    </row>
    <row r="29" spans="1:125" ht="14.25" customHeight="1" x14ac:dyDescent="0.25">
      <c r="A29" s="80">
        <f t="shared" si="44"/>
        <v>13</v>
      </c>
      <c r="B29" s="81"/>
      <c r="C29" s="82"/>
      <c r="D29" s="83" t="str">
        <f t="shared" si="24"/>
        <v/>
      </c>
      <c r="E29" s="84" t="str">
        <f t="shared" si="25"/>
        <v/>
      </c>
      <c r="F29" s="85">
        <f t="shared" si="26"/>
        <v>0</v>
      </c>
      <c r="G29" s="85">
        <f t="shared" si="9"/>
        <v>0</v>
      </c>
      <c r="H29" s="12"/>
      <c r="I29" s="12"/>
      <c r="J29" s="86">
        <f t="shared" si="10"/>
        <v>0</v>
      </c>
      <c r="K29" s="86">
        <f t="shared" si="10"/>
        <v>0</v>
      </c>
      <c r="L29" s="87"/>
      <c r="M29" s="87"/>
      <c r="N29" s="87"/>
      <c r="O29" s="87"/>
      <c r="P29" s="87"/>
      <c r="Q29" s="87"/>
      <c r="R29" s="87"/>
      <c r="S29" s="87"/>
      <c r="T29" s="86">
        <f t="shared" si="27"/>
        <v>0</v>
      </c>
      <c r="U29" s="86">
        <f t="shared" si="28"/>
        <v>0</v>
      </c>
      <c r="V29" s="88"/>
      <c r="W29" s="12"/>
      <c r="X29" s="89">
        <f t="shared" si="11"/>
        <v>0</v>
      </c>
      <c r="Y29" s="12"/>
      <c r="Z29" s="89">
        <f t="shared" si="12"/>
        <v>0</v>
      </c>
      <c r="AA29" s="90"/>
      <c r="AB29" s="91" t="str">
        <f t="shared" si="29"/>
        <v/>
      </c>
      <c r="AC29" s="83" t="str">
        <f t="shared" si="30"/>
        <v/>
      </c>
      <c r="AD29" s="83" t="str">
        <f t="shared" si="31"/>
        <v/>
      </c>
      <c r="AE29" s="83" t="str">
        <f t="shared" si="31"/>
        <v/>
      </c>
      <c r="AF29" s="80"/>
      <c r="AG29" s="94"/>
      <c r="AH29" s="94"/>
      <c r="AI29" s="94"/>
      <c r="AJ29" s="86">
        <f t="shared" si="32"/>
        <v>0</v>
      </c>
      <c r="AK29" s="86">
        <f t="shared" si="32"/>
        <v>0</v>
      </c>
      <c r="AL29" s="94"/>
      <c r="AM29" s="94"/>
      <c r="AN29" s="86">
        <f t="shared" si="33"/>
        <v>0</v>
      </c>
      <c r="AO29" s="86">
        <f t="shared" si="33"/>
        <v>0</v>
      </c>
      <c r="AP29" s="94"/>
      <c r="AQ29" s="94"/>
      <c r="AR29" s="86">
        <f t="shared" si="34"/>
        <v>0</v>
      </c>
      <c r="AS29" s="86">
        <f t="shared" si="34"/>
        <v>0</v>
      </c>
      <c r="AT29" s="94"/>
      <c r="AU29" s="94"/>
      <c r="AW29" s="89">
        <f t="shared" si="13"/>
        <v>0</v>
      </c>
      <c r="AX29" s="89">
        <f t="shared" si="14"/>
        <v>0</v>
      </c>
      <c r="AY29" s="89">
        <f t="shared" si="15"/>
        <v>0</v>
      </c>
      <c r="AZ29" s="89">
        <f t="shared" si="16"/>
        <v>0</v>
      </c>
      <c r="BB29" s="96">
        <f t="shared" si="17"/>
        <v>0</v>
      </c>
      <c r="BC29" s="96">
        <f t="shared" si="17"/>
        <v>0</v>
      </c>
      <c r="BD29" s="84" t="str">
        <f t="shared" si="18"/>
        <v/>
      </c>
      <c r="BE29" s="84" t="str">
        <f t="shared" si="18"/>
        <v/>
      </c>
      <c r="BF29" s="88"/>
      <c r="BG29" s="97" t="str">
        <f t="shared" si="19"/>
        <v/>
      </c>
      <c r="BH29" s="88"/>
      <c r="BI29" s="85">
        <f t="shared" si="20"/>
        <v>0</v>
      </c>
      <c r="BJ29" s="85">
        <f t="shared" si="20"/>
        <v>0</v>
      </c>
      <c r="BK29" s="12"/>
      <c r="BL29" s="12"/>
      <c r="BM29" s="98">
        <f t="shared" si="35"/>
        <v>0</v>
      </c>
      <c r="BN29" s="99">
        <f t="shared" si="36"/>
        <v>0</v>
      </c>
      <c r="BO29" s="98">
        <f t="shared" si="37"/>
        <v>0</v>
      </c>
      <c r="BP29" s="99">
        <f t="shared" si="38"/>
        <v>0</v>
      </c>
      <c r="BQ29" s="12"/>
      <c r="BR29" s="12"/>
      <c r="BS29" s="12"/>
      <c r="BT29" s="12"/>
      <c r="BU29" s="98">
        <f t="shared" si="46"/>
        <v>0</v>
      </c>
      <c r="BV29" s="99">
        <f t="shared" si="45"/>
        <v>0</v>
      </c>
      <c r="BW29" s="98">
        <f t="shared" si="47"/>
        <v>0</v>
      </c>
      <c r="BX29" s="99">
        <f t="shared" si="23"/>
        <v>0</v>
      </c>
      <c r="BY29" s="105"/>
      <c r="BZ29" s="85">
        <f t="shared" si="39"/>
        <v>0</v>
      </c>
      <c r="CA29" s="85">
        <f t="shared" si="39"/>
        <v>0</v>
      </c>
      <c r="CB29" s="88"/>
      <c r="CC29" s="88"/>
      <c r="CD29" s="12"/>
      <c r="CE29" s="12"/>
      <c r="CF29" s="98">
        <f t="shared" si="40"/>
        <v>0</v>
      </c>
      <c r="CG29" s="99">
        <f t="shared" si="41"/>
        <v>0</v>
      </c>
      <c r="CH29" s="98">
        <f t="shared" si="42"/>
        <v>0</v>
      </c>
      <c r="CI29" s="99">
        <f t="shared" si="43"/>
        <v>0</v>
      </c>
      <c r="CJ29" s="101"/>
      <c r="CK29" s="101"/>
      <c r="CL29" s="101"/>
      <c r="CQ29" s="6"/>
      <c r="CS29" s="102"/>
      <c r="CT29" s="103"/>
      <c r="CU29" s="104"/>
      <c r="CV29" s="105"/>
      <c r="CW29" s="82"/>
      <c r="CX29" s="82"/>
      <c r="CY29" s="82"/>
      <c r="CZ29" s="82"/>
      <c r="DA29" s="82"/>
      <c r="DB29" s="82"/>
      <c r="DC29" s="82"/>
      <c r="DD29" s="12"/>
      <c r="DE29" s="82"/>
      <c r="DF29" s="12"/>
      <c r="DG29" s="12"/>
      <c r="DH29" s="12"/>
      <c r="DI29" s="12"/>
      <c r="DJ29" s="12"/>
      <c r="DK29" s="12"/>
      <c r="DL29" s="12"/>
      <c r="DM29" s="12"/>
      <c r="DN29" s="12"/>
      <c r="DO29" s="106"/>
      <c r="DP29" s="80"/>
      <c r="DQ29" s="80"/>
      <c r="DR29" s="94"/>
      <c r="DS29" s="80"/>
      <c r="DT29" s="80"/>
      <c r="DU29" s="80"/>
    </row>
    <row r="30" spans="1:125" ht="14.25" customHeight="1" x14ac:dyDescent="0.25">
      <c r="A30" s="80">
        <f t="shared" si="44"/>
        <v>14</v>
      </c>
      <c r="B30" s="81"/>
      <c r="C30" s="82"/>
      <c r="D30" s="83" t="str">
        <f t="shared" si="24"/>
        <v/>
      </c>
      <c r="E30" s="84" t="str">
        <f t="shared" si="25"/>
        <v/>
      </c>
      <c r="F30" s="85">
        <f t="shared" si="26"/>
        <v>0</v>
      </c>
      <c r="G30" s="85">
        <f t="shared" si="9"/>
        <v>0</v>
      </c>
      <c r="H30" s="12"/>
      <c r="I30" s="12"/>
      <c r="J30" s="86">
        <f t="shared" si="10"/>
        <v>0</v>
      </c>
      <c r="K30" s="86">
        <f t="shared" si="10"/>
        <v>0</v>
      </c>
      <c r="L30" s="87"/>
      <c r="M30" s="87"/>
      <c r="N30" s="87"/>
      <c r="O30" s="87"/>
      <c r="P30" s="87"/>
      <c r="Q30" s="87"/>
      <c r="R30" s="87"/>
      <c r="S30" s="87"/>
      <c r="T30" s="86">
        <f t="shared" si="27"/>
        <v>0</v>
      </c>
      <c r="U30" s="86">
        <f t="shared" si="28"/>
        <v>0</v>
      </c>
      <c r="V30" s="88"/>
      <c r="W30" s="12"/>
      <c r="X30" s="89">
        <f t="shared" si="11"/>
        <v>0</v>
      </c>
      <c r="Y30" s="12"/>
      <c r="Z30" s="89">
        <f t="shared" si="12"/>
        <v>0</v>
      </c>
      <c r="AA30" s="90"/>
      <c r="AB30" s="91" t="str">
        <f t="shared" si="29"/>
        <v/>
      </c>
      <c r="AC30" s="83" t="str">
        <f t="shared" si="30"/>
        <v/>
      </c>
      <c r="AD30" s="83" t="str">
        <f t="shared" si="31"/>
        <v/>
      </c>
      <c r="AE30" s="83" t="str">
        <f t="shared" si="31"/>
        <v/>
      </c>
      <c r="AF30" s="80"/>
      <c r="AG30" s="94"/>
      <c r="AH30" s="94"/>
      <c r="AI30" s="94"/>
      <c r="AJ30" s="86">
        <f t="shared" si="32"/>
        <v>0</v>
      </c>
      <c r="AK30" s="86">
        <f t="shared" si="32"/>
        <v>0</v>
      </c>
      <c r="AL30" s="94"/>
      <c r="AM30" s="94"/>
      <c r="AN30" s="86">
        <f t="shared" si="33"/>
        <v>0</v>
      </c>
      <c r="AO30" s="86">
        <f t="shared" si="33"/>
        <v>0</v>
      </c>
      <c r="AP30" s="94"/>
      <c r="AQ30" s="94"/>
      <c r="AR30" s="86">
        <f t="shared" si="34"/>
        <v>0</v>
      </c>
      <c r="AS30" s="86">
        <f t="shared" si="34"/>
        <v>0</v>
      </c>
      <c r="AT30" s="94"/>
      <c r="AU30" s="94"/>
      <c r="AW30" s="89">
        <f t="shared" si="13"/>
        <v>0</v>
      </c>
      <c r="AX30" s="89">
        <f t="shared" si="14"/>
        <v>0</v>
      </c>
      <c r="AY30" s="89">
        <f t="shared" si="15"/>
        <v>0</v>
      </c>
      <c r="AZ30" s="89">
        <f t="shared" si="16"/>
        <v>0</v>
      </c>
      <c r="BB30" s="96">
        <f t="shared" si="17"/>
        <v>0</v>
      </c>
      <c r="BC30" s="96">
        <f t="shared" si="17"/>
        <v>0</v>
      </c>
      <c r="BD30" s="84" t="str">
        <f t="shared" si="18"/>
        <v/>
      </c>
      <c r="BE30" s="84" t="str">
        <f t="shared" si="18"/>
        <v/>
      </c>
      <c r="BF30" s="88"/>
      <c r="BG30" s="97" t="str">
        <f t="shared" si="19"/>
        <v/>
      </c>
      <c r="BH30" s="88"/>
      <c r="BI30" s="85">
        <f t="shared" si="20"/>
        <v>0</v>
      </c>
      <c r="BJ30" s="85">
        <f t="shared" si="20"/>
        <v>0</v>
      </c>
      <c r="BK30" s="12"/>
      <c r="BL30" s="12"/>
      <c r="BM30" s="98">
        <f t="shared" si="35"/>
        <v>0</v>
      </c>
      <c r="BN30" s="99">
        <f t="shared" si="36"/>
        <v>0</v>
      </c>
      <c r="BO30" s="98">
        <f t="shared" si="37"/>
        <v>0</v>
      </c>
      <c r="BP30" s="99">
        <f t="shared" si="38"/>
        <v>0</v>
      </c>
      <c r="BQ30" s="12"/>
      <c r="BR30" s="12"/>
      <c r="BS30" s="12"/>
      <c r="BT30" s="12"/>
      <c r="BU30" s="98">
        <f t="shared" si="46"/>
        <v>0</v>
      </c>
      <c r="BV30" s="99">
        <f t="shared" si="45"/>
        <v>0</v>
      </c>
      <c r="BW30" s="98">
        <f t="shared" si="47"/>
        <v>0</v>
      </c>
      <c r="BX30" s="99">
        <f t="shared" si="23"/>
        <v>0</v>
      </c>
      <c r="BY30" s="105"/>
      <c r="BZ30" s="85">
        <f t="shared" si="39"/>
        <v>0</v>
      </c>
      <c r="CA30" s="85">
        <f t="shared" si="39"/>
        <v>0</v>
      </c>
      <c r="CB30" s="88"/>
      <c r="CC30" s="88"/>
      <c r="CD30" s="12"/>
      <c r="CE30" s="12"/>
      <c r="CF30" s="98">
        <f t="shared" si="40"/>
        <v>0</v>
      </c>
      <c r="CG30" s="99">
        <f t="shared" si="41"/>
        <v>0</v>
      </c>
      <c r="CH30" s="98">
        <f t="shared" si="42"/>
        <v>0</v>
      </c>
      <c r="CI30" s="99">
        <f t="shared" si="43"/>
        <v>0</v>
      </c>
      <c r="CJ30" s="101"/>
      <c r="CK30" s="101"/>
      <c r="CL30" s="101"/>
      <c r="CQ30" s="6"/>
      <c r="CS30" s="102"/>
      <c r="CT30" s="103"/>
      <c r="CU30" s="104"/>
      <c r="CV30" s="105"/>
      <c r="CW30" s="82"/>
      <c r="CX30" s="82"/>
      <c r="CY30" s="82"/>
      <c r="CZ30" s="82"/>
      <c r="DA30" s="82"/>
      <c r="DB30" s="82"/>
      <c r="DC30" s="8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06"/>
      <c r="DP30" s="80"/>
      <c r="DQ30" s="80"/>
      <c r="DR30" s="94"/>
      <c r="DS30" s="80"/>
      <c r="DT30" s="80"/>
      <c r="DU30" s="80"/>
    </row>
    <row r="31" spans="1:125" ht="14.25" customHeight="1" x14ac:dyDescent="0.25">
      <c r="A31" s="80">
        <f t="shared" si="44"/>
        <v>15</v>
      </c>
      <c r="B31" s="81"/>
      <c r="C31" s="82"/>
      <c r="D31" s="83" t="str">
        <f t="shared" si="24"/>
        <v/>
      </c>
      <c r="E31" s="84" t="str">
        <f t="shared" si="25"/>
        <v/>
      </c>
      <c r="F31" s="85">
        <f t="shared" si="26"/>
        <v>0</v>
      </c>
      <c r="G31" s="85">
        <f t="shared" si="9"/>
        <v>0</v>
      </c>
      <c r="H31" s="12"/>
      <c r="I31" s="12"/>
      <c r="J31" s="86">
        <f t="shared" si="10"/>
        <v>0</v>
      </c>
      <c r="K31" s="86">
        <f t="shared" si="10"/>
        <v>0</v>
      </c>
      <c r="L31" s="87"/>
      <c r="M31" s="87"/>
      <c r="N31" s="87"/>
      <c r="O31" s="87"/>
      <c r="P31" s="87"/>
      <c r="Q31" s="87"/>
      <c r="R31" s="87"/>
      <c r="S31" s="87"/>
      <c r="T31" s="86">
        <f t="shared" si="27"/>
        <v>0</v>
      </c>
      <c r="U31" s="86">
        <f t="shared" si="28"/>
        <v>0</v>
      </c>
      <c r="V31" s="88"/>
      <c r="W31" s="12"/>
      <c r="X31" s="89">
        <f t="shared" si="11"/>
        <v>0</v>
      </c>
      <c r="Y31" s="12"/>
      <c r="Z31" s="89">
        <f t="shared" si="12"/>
        <v>0</v>
      </c>
      <c r="AA31" s="90"/>
      <c r="AB31" s="91" t="str">
        <f t="shared" si="29"/>
        <v/>
      </c>
      <c r="AC31" s="83" t="str">
        <f t="shared" si="30"/>
        <v/>
      </c>
      <c r="AD31" s="83" t="str">
        <f t="shared" si="31"/>
        <v/>
      </c>
      <c r="AE31" s="83" t="str">
        <f t="shared" si="31"/>
        <v/>
      </c>
      <c r="AF31" s="80"/>
      <c r="AG31" s="94"/>
      <c r="AH31" s="94"/>
      <c r="AI31" s="94"/>
      <c r="AJ31" s="86">
        <f t="shared" si="32"/>
        <v>0</v>
      </c>
      <c r="AK31" s="86">
        <f t="shared" si="32"/>
        <v>0</v>
      </c>
      <c r="AL31" s="94"/>
      <c r="AM31" s="94"/>
      <c r="AN31" s="86">
        <f t="shared" si="33"/>
        <v>0</v>
      </c>
      <c r="AO31" s="86">
        <f t="shared" si="33"/>
        <v>0</v>
      </c>
      <c r="AP31" s="94"/>
      <c r="AQ31" s="94"/>
      <c r="AR31" s="86">
        <f t="shared" si="34"/>
        <v>0</v>
      </c>
      <c r="AS31" s="86">
        <f t="shared" si="34"/>
        <v>0</v>
      </c>
      <c r="AT31" s="94"/>
      <c r="AU31" s="94"/>
      <c r="AW31" s="89">
        <f t="shared" si="13"/>
        <v>0</v>
      </c>
      <c r="AX31" s="89">
        <f t="shared" si="14"/>
        <v>0</v>
      </c>
      <c r="AY31" s="89">
        <f t="shared" si="15"/>
        <v>0</v>
      </c>
      <c r="AZ31" s="89">
        <f t="shared" si="16"/>
        <v>0</v>
      </c>
      <c r="BB31" s="96">
        <f t="shared" si="17"/>
        <v>0</v>
      </c>
      <c r="BC31" s="96">
        <f t="shared" si="17"/>
        <v>0</v>
      </c>
      <c r="BD31" s="84" t="str">
        <f t="shared" si="18"/>
        <v/>
      </c>
      <c r="BE31" s="84" t="str">
        <f t="shared" si="18"/>
        <v/>
      </c>
      <c r="BF31" s="88"/>
      <c r="BG31" s="97" t="str">
        <f t="shared" si="19"/>
        <v/>
      </c>
      <c r="BH31" s="88"/>
      <c r="BI31" s="85">
        <f t="shared" si="20"/>
        <v>0</v>
      </c>
      <c r="BJ31" s="85">
        <f t="shared" si="20"/>
        <v>0</v>
      </c>
      <c r="BK31" s="12"/>
      <c r="BL31" s="12"/>
      <c r="BM31" s="98">
        <f t="shared" si="35"/>
        <v>0</v>
      </c>
      <c r="BN31" s="99">
        <f t="shared" si="36"/>
        <v>0</v>
      </c>
      <c r="BO31" s="98">
        <f t="shared" si="37"/>
        <v>0</v>
      </c>
      <c r="BP31" s="99">
        <f t="shared" si="38"/>
        <v>0</v>
      </c>
      <c r="BQ31" s="12"/>
      <c r="BR31" s="12"/>
      <c r="BS31" s="12"/>
      <c r="BT31" s="12"/>
      <c r="BU31" s="98">
        <f t="shared" si="46"/>
        <v>0</v>
      </c>
      <c r="BV31" s="99">
        <f t="shared" si="45"/>
        <v>0</v>
      </c>
      <c r="BW31" s="98">
        <f t="shared" si="47"/>
        <v>0</v>
      </c>
      <c r="BX31" s="99">
        <f t="shared" si="23"/>
        <v>0</v>
      </c>
      <c r="BY31" s="105"/>
      <c r="BZ31" s="85">
        <f t="shared" si="39"/>
        <v>0</v>
      </c>
      <c r="CA31" s="85">
        <f t="shared" si="39"/>
        <v>0</v>
      </c>
      <c r="CB31" s="88"/>
      <c r="CC31" s="88"/>
      <c r="CD31" s="12"/>
      <c r="CE31" s="12"/>
      <c r="CF31" s="98">
        <f t="shared" si="40"/>
        <v>0</v>
      </c>
      <c r="CG31" s="99">
        <f t="shared" si="41"/>
        <v>0</v>
      </c>
      <c r="CH31" s="98">
        <f t="shared" si="42"/>
        <v>0</v>
      </c>
      <c r="CI31" s="99">
        <f t="shared" si="43"/>
        <v>0</v>
      </c>
      <c r="CJ31" s="101"/>
      <c r="CK31" s="101"/>
      <c r="CL31" s="101"/>
      <c r="CQ31" s="6"/>
      <c r="CS31" s="102"/>
      <c r="CT31" s="103"/>
      <c r="CU31" s="104"/>
      <c r="CV31" s="105"/>
      <c r="CW31" s="82"/>
      <c r="CX31" s="82"/>
      <c r="CY31" s="82"/>
      <c r="CZ31" s="82"/>
      <c r="DA31" s="82"/>
      <c r="DB31" s="82"/>
      <c r="DC31" s="82"/>
      <c r="DD31" s="12"/>
      <c r="DE31" s="80"/>
      <c r="DF31" s="12"/>
      <c r="DG31" s="12"/>
      <c r="DH31" s="12"/>
      <c r="DI31" s="12"/>
      <c r="DJ31" s="12"/>
      <c r="DK31" s="12"/>
      <c r="DL31" s="12"/>
      <c r="DM31" s="12"/>
      <c r="DN31" s="12"/>
      <c r="DO31" s="106"/>
      <c r="DP31" s="80"/>
      <c r="DQ31" s="80"/>
      <c r="DR31" s="94"/>
      <c r="DS31" s="80"/>
      <c r="DT31" s="80"/>
      <c r="DU31" s="80"/>
    </row>
    <row r="32" spans="1:125" ht="14.25" customHeight="1" x14ac:dyDescent="0.25">
      <c r="A32" s="80">
        <f t="shared" si="44"/>
        <v>16</v>
      </c>
      <c r="B32" s="81"/>
      <c r="C32" s="82"/>
      <c r="D32" s="83" t="str">
        <f t="shared" si="24"/>
        <v/>
      </c>
      <c r="E32" s="84" t="str">
        <f t="shared" si="25"/>
        <v/>
      </c>
      <c r="F32" s="85">
        <f t="shared" si="26"/>
        <v>0</v>
      </c>
      <c r="G32" s="85">
        <f t="shared" si="9"/>
        <v>0</v>
      </c>
      <c r="H32" s="12"/>
      <c r="I32" s="12"/>
      <c r="J32" s="86">
        <f t="shared" si="10"/>
        <v>0</v>
      </c>
      <c r="K32" s="86">
        <f t="shared" si="10"/>
        <v>0</v>
      </c>
      <c r="L32" s="87"/>
      <c r="M32" s="87"/>
      <c r="N32" s="87"/>
      <c r="O32" s="87"/>
      <c r="P32" s="87"/>
      <c r="Q32" s="87"/>
      <c r="R32" s="87"/>
      <c r="S32" s="87"/>
      <c r="T32" s="86">
        <f t="shared" si="27"/>
        <v>0</v>
      </c>
      <c r="U32" s="86">
        <f t="shared" si="28"/>
        <v>0</v>
      </c>
      <c r="V32" s="88"/>
      <c r="W32" s="12"/>
      <c r="X32" s="89">
        <f t="shared" si="11"/>
        <v>0</v>
      </c>
      <c r="Y32" s="12"/>
      <c r="Z32" s="89">
        <f t="shared" si="12"/>
        <v>0</v>
      </c>
      <c r="AA32" s="90"/>
      <c r="AB32" s="91" t="str">
        <f t="shared" si="29"/>
        <v/>
      </c>
      <c r="AC32" s="83" t="str">
        <f t="shared" si="30"/>
        <v/>
      </c>
      <c r="AD32" s="83" t="str">
        <f t="shared" si="31"/>
        <v/>
      </c>
      <c r="AE32" s="83" t="str">
        <f t="shared" si="31"/>
        <v/>
      </c>
      <c r="AF32" s="80"/>
      <c r="AG32" s="94"/>
      <c r="AH32" s="94"/>
      <c r="AI32" s="94"/>
      <c r="AJ32" s="86">
        <f t="shared" si="32"/>
        <v>0</v>
      </c>
      <c r="AK32" s="86">
        <f t="shared" si="32"/>
        <v>0</v>
      </c>
      <c r="AL32" s="94"/>
      <c r="AM32" s="94"/>
      <c r="AN32" s="86">
        <f t="shared" si="33"/>
        <v>0</v>
      </c>
      <c r="AO32" s="86">
        <f t="shared" si="33"/>
        <v>0</v>
      </c>
      <c r="AP32" s="94"/>
      <c r="AQ32" s="94"/>
      <c r="AR32" s="86">
        <f t="shared" si="34"/>
        <v>0</v>
      </c>
      <c r="AS32" s="86">
        <f t="shared" si="34"/>
        <v>0</v>
      </c>
      <c r="AT32" s="94"/>
      <c r="AU32" s="94"/>
      <c r="AW32" s="89">
        <f t="shared" si="13"/>
        <v>0</v>
      </c>
      <c r="AX32" s="89">
        <f t="shared" si="14"/>
        <v>0</v>
      </c>
      <c r="AY32" s="89">
        <f t="shared" si="15"/>
        <v>0</v>
      </c>
      <c r="AZ32" s="89">
        <f t="shared" si="16"/>
        <v>0</v>
      </c>
      <c r="BB32" s="96">
        <f t="shared" si="17"/>
        <v>0</v>
      </c>
      <c r="BC32" s="96">
        <f t="shared" si="17"/>
        <v>0</v>
      </c>
      <c r="BD32" s="84" t="str">
        <f t="shared" si="18"/>
        <v/>
      </c>
      <c r="BE32" s="84" t="str">
        <f t="shared" si="18"/>
        <v/>
      </c>
      <c r="BF32" s="88"/>
      <c r="BG32" s="97" t="str">
        <f t="shared" si="19"/>
        <v/>
      </c>
      <c r="BH32" s="88"/>
      <c r="BI32" s="85">
        <f t="shared" si="20"/>
        <v>0</v>
      </c>
      <c r="BJ32" s="85">
        <f t="shared" si="20"/>
        <v>0</v>
      </c>
      <c r="BK32" s="12"/>
      <c r="BL32" s="12"/>
      <c r="BM32" s="98">
        <f t="shared" si="35"/>
        <v>0</v>
      </c>
      <c r="BN32" s="99">
        <f t="shared" si="36"/>
        <v>0</v>
      </c>
      <c r="BO32" s="98">
        <f t="shared" si="37"/>
        <v>0</v>
      </c>
      <c r="BP32" s="99">
        <f t="shared" si="38"/>
        <v>0</v>
      </c>
      <c r="BQ32" s="12"/>
      <c r="BR32" s="12"/>
      <c r="BS32" s="12"/>
      <c r="BT32" s="12"/>
      <c r="BU32" s="98">
        <f t="shared" si="46"/>
        <v>0</v>
      </c>
      <c r="BV32" s="99">
        <f t="shared" si="45"/>
        <v>0</v>
      </c>
      <c r="BW32" s="98">
        <f t="shared" si="47"/>
        <v>0</v>
      </c>
      <c r="BX32" s="99">
        <f t="shared" si="23"/>
        <v>0</v>
      </c>
      <c r="BY32" s="105"/>
      <c r="BZ32" s="85">
        <f t="shared" si="39"/>
        <v>0</v>
      </c>
      <c r="CA32" s="85">
        <f t="shared" si="39"/>
        <v>0</v>
      </c>
      <c r="CB32" s="88"/>
      <c r="CC32" s="88"/>
      <c r="CD32" s="12"/>
      <c r="CE32" s="12"/>
      <c r="CF32" s="98">
        <f t="shared" si="40"/>
        <v>0</v>
      </c>
      <c r="CG32" s="99">
        <f t="shared" si="41"/>
        <v>0</v>
      </c>
      <c r="CH32" s="98">
        <f t="shared" si="42"/>
        <v>0</v>
      </c>
      <c r="CI32" s="99">
        <f t="shared" si="43"/>
        <v>0</v>
      </c>
      <c r="CJ32" s="101"/>
      <c r="CK32" s="101"/>
      <c r="CL32" s="101"/>
      <c r="CQ32" s="6"/>
      <c r="CS32" s="102"/>
      <c r="CT32" s="103"/>
      <c r="CU32" s="104"/>
      <c r="CV32" s="105"/>
      <c r="CW32" s="82"/>
      <c r="CX32" s="82"/>
      <c r="CY32" s="82"/>
      <c r="CZ32" s="82"/>
      <c r="DA32" s="82"/>
      <c r="DB32" s="82"/>
      <c r="DC32" s="8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06"/>
      <c r="DP32" s="80"/>
      <c r="DQ32" s="80"/>
      <c r="DR32" s="94"/>
      <c r="DS32" s="80"/>
      <c r="DT32" s="80"/>
      <c r="DU32" s="80"/>
    </row>
    <row r="33" spans="1:125" ht="14.25" customHeight="1" x14ac:dyDescent="0.25">
      <c r="A33" s="80">
        <f t="shared" si="44"/>
        <v>17</v>
      </c>
      <c r="B33" s="81"/>
      <c r="C33" s="82"/>
      <c r="D33" s="83" t="str">
        <f t="shared" si="24"/>
        <v/>
      </c>
      <c r="E33" s="84" t="str">
        <f t="shared" si="25"/>
        <v/>
      </c>
      <c r="F33" s="85">
        <f t="shared" si="26"/>
        <v>0</v>
      </c>
      <c r="G33" s="85">
        <f t="shared" si="9"/>
        <v>0</v>
      </c>
      <c r="H33" s="12"/>
      <c r="I33" s="12"/>
      <c r="J33" s="86">
        <f t="shared" si="10"/>
        <v>0</v>
      </c>
      <c r="K33" s="86">
        <f t="shared" si="10"/>
        <v>0</v>
      </c>
      <c r="L33" s="87"/>
      <c r="M33" s="87"/>
      <c r="N33" s="87"/>
      <c r="O33" s="87"/>
      <c r="P33" s="87"/>
      <c r="Q33" s="87"/>
      <c r="R33" s="87"/>
      <c r="S33" s="87"/>
      <c r="T33" s="86">
        <f t="shared" si="27"/>
        <v>0</v>
      </c>
      <c r="U33" s="86">
        <f t="shared" si="28"/>
        <v>0</v>
      </c>
      <c r="V33" s="88"/>
      <c r="W33" s="12"/>
      <c r="X33" s="89">
        <f t="shared" si="11"/>
        <v>0</v>
      </c>
      <c r="Y33" s="12"/>
      <c r="Z33" s="89">
        <f t="shared" si="12"/>
        <v>0</v>
      </c>
      <c r="AA33" s="90"/>
      <c r="AB33" s="91" t="str">
        <f t="shared" si="29"/>
        <v/>
      </c>
      <c r="AC33" s="83" t="str">
        <f t="shared" si="30"/>
        <v/>
      </c>
      <c r="AD33" s="83" t="str">
        <f t="shared" si="31"/>
        <v/>
      </c>
      <c r="AE33" s="83" t="str">
        <f t="shared" si="31"/>
        <v/>
      </c>
      <c r="AF33" s="80"/>
      <c r="AG33" s="94"/>
      <c r="AH33" s="94"/>
      <c r="AI33" s="94"/>
      <c r="AJ33" s="86">
        <f t="shared" si="32"/>
        <v>0</v>
      </c>
      <c r="AK33" s="86">
        <f t="shared" si="32"/>
        <v>0</v>
      </c>
      <c r="AL33" s="94"/>
      <c r="AM33" s="94"/>
      <c r="AN33" s="86">
        <f t="shared" si="33"/>
        <v>0</v>
      </c>
      <c r="AO33" s="86">
        <f t="shared" si="33"/>
        <v>0</v>
      </c>
      <c r="AP33" s="94"/>
      <c r="AQ33" s="94"/>
      <c r="AR33" s="86">
        <f t="shared" si="34"/>
        <v>0</v>
      </c>
      <c r="AS33" s="86">
        <f t="shared" si="34"/>
        <v>0</v>
      </c>
      <c r="AT33" s="94"/>
      <c r="AU33" s="94"/>
      <c r="AW33" s="89">
        <f t="shared" si="13"/>
        <v>0</v>
      </c>
      <c r="AX33" s="89">
        <f t="shared" si="14"/>
        <v>0</v>
      </c>
      <c r="AY33" s="89">
        <f t="shared" si="15"/>
        <v>0</v>
      </c>
      <c r="AZ33" s="89">
        <f t="shared" si="16"/>
        <v>0</v>
      </c>
      <c r="BB33" s="96">
        <f t="shared" si="17"/>
        <v>0</v>
      </c>
      <c r="BC33" s="96">
        <f t="shared" si="17"/>
        <v>0</v>
      </c>
      <c r="BD33" s="84" t="str">
        <f t="shared" si="18"/>
        <v/>
      </c>
      <c r="BE33" s="84" t="str">
        <f t="shared" si="18"/>
        <v/>
      </c>
      <c r="BF33" s="88"/>
      <c r="BG33" s="97" t="str">
        <f t="shared" si="19"/>
        <v/>
      </c>
      <c r="BH33" s="88"/>
      <c r="BI33" s="85">
        <f t="shared" si="20"/>
        <v>0</v>
      </c>
      <c r="BJ33" s="85">
        <f t="shared" si="20"/>
        <v>0</v>
      </c>
      <c r="BK33" s="12"/>
      <c r="BL33" s="12"/>
      <c r="BM33" s="98">
        <f t="shared" si="35"/>
        <v>0</v>
      </c>
      <c r="BN33" s="99">
        <f t="shared" si="36"/>
        <v>0</v>
      </c>
      <c r="BO33" s="98">
        <f t="shared" si="37"/>
        <v>0</v>
      </c>
      <c r="BP33" s="99">
        <f t="shared" si="38"/>
        <v>0</v>
      </c>
      <c r="BQ33" s="12"/>
      <c r="BR33" s="12"/>
      <c r="BS33" s="12"/>
      <c r="BT33" s="12"/>
      <c r="BU33" s="98">
        <f t="shared" si="46"/>
        <v>0</v>
      </c>
      <c r="BV33" s="99">
        <f t="shared" si="45"/>
        <v>0</v>
      </c>
      <c r="BW33" s="98">
        <f t="shared" si="47"/>
        <v>0</v>
      </c>
      <c r="BX33" s="99">
        <f t="shared" si="23"/>
        <v>0</v>
      </c>
      <c r="BY33" s="105"/>
      <c r="BZ33" s="85">
        <f t="shared" si="39"/>
        <v>0</v>
      </c>
      <c r="CA33" s="85">
        <f t="shared" si="39"/>
        <v>0</v>
      </c>
      <c r="CB33" s="88"/>
      <c r="CC33" s="88"/>
      <c r="CD33" s="12"/>
      <c r="CE33" s="12"/>
      <c r="CF33" s="98">
        <f t="shared" si="40"/>
        <v>0</v>
      </c>
      <c r="CG33" s="99">
        <f t="shared" si="41"/>
        <v>0</v>
      </c>
      <c r="CH33" s="98">
        <f t="shared" si="42"/>
        <v>0</v>
      </c>
      <c r="CI33" s="99">
        <f t="shared" si="43"/>
        <v>0</v>
      </c>
      <c r="CJ33" s="101"/>
      <c r="CK33" s="101"/>
      <c r="CL33" s="101"/>
      <c r="CQ33" s="6"/>
      <c r="CS33" s="102"/>
      <c r="CT33" s="103"/>
      <c r="CU33" s="104"/>
      <c r="CV33" s="105"/>
      <c r="CW33" s="82"/>
      <c r="CX33" s="82"/>
      <c r="CY33" s="82"/>
      <c r="CZ33" s="82"/>
      <c r="DA33" s="82"/>
      <c r="DB33" s="82"/>
      <c r="DC33" s="8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06"/>
      <c r="DP33" s="80"/>
      <c r="DQ33" s="80"/>
      <c r="DR33" s="94"/>
      <c r="DS33" s="80"/>
      <c r="DT33" s="80"/>
      <c r="DU33" s="80"/>
    </row>
    <row r="34" spans="1:125" ht="14.25" customHeight="1" x14ac:dyDescent="0.2">
      <c r="A34" s="80">
        <f t="shared" si="44"/>
        <v>18</v>
      </c>
      <c r="B34" s="81"/>
      <c r="C34" s="82"/>
      <c r="D34" s="83" t="str">
        <f t="shared" si="24"/>
        <v/>
      </c>
      <c r="E34" s="84" t="str">
        <f t="shared" si="25"/>
        <v/>
      </c>
      <c r="F34" s="85">
        <f t="shared" si="26"/>
        <v>0</v>
      </c>
      <c r="G34" s="85">
        <f t="shared" si="9"/>
        <v>0</v>
      </c>
      <c r="H34" s="12"/>
      <c r="I34" s="12"/>
      <c r="J34" s="86">
        <f t="shared" si="10"/>
        <v>0</v>
      </c>
      <c r="K34" s="86">
        <f t="shared" si="10"/>
        <v>0</v>
      </c>
      <c r="L34" s="87"/>
      <c r="M34" s="87"/>
      <c r="N34" s="87"/>
      <c r="O34" s="87"/>
      <c r="P34" s="87"/>
      <c r="Q34" s="87"/>
      <c r="R34" s="87"/>
      <c r="S34" s="87"/>
      <c r="T34" s="86">
        <f t="shared" si="27"/>
        <v>0</v>
      </c>
      <c r="U34" s="86">
        <f t="shared" si="28"/>
        <v>0</v>
      </c>
      <c r="V34" s="88"/>
      <c r="W34" s="12"/>
      <c r="X34" s="89">
        <f t="shared" si="11"/>
        <v>0</v>
      </c>
      <c r="Y34" s="12"/>
      <c r="Z34" s="89">
        <f t="shared" si="12"/>
        <v>0</v>
      </c>
      <c r="AA34" s="90"/>
      <c r="AB34" s="91" t="str">
        <f t="shared" si="29"/>
        <v/>
      </c>
      <c r="AC34" s="83" t="str">
        <f t="shared" si="30"/>
        <v/>
      </c>
      <c r="AD34" s="83" t="str">
        <f t="shared" si="31"/>
        <v/>
      </c>
      <c r="AE34" s="83" t="str">
        <f t="shared" si="31"/>
        <v/>
      </c>
      <c r="AF34" s="80"/>
      <c r="AG34" s="94"/>
      <c r="AH34" s="94"/>
      <c r="AI34" s="94"/>
      <c r="AJ34" s="86">
        <f t="shared" si="32"/>
        <v>0</v>
      </c>
      <c r="AK34" s="86">
        <f t="shared" si="32"/>
        <v>0</v>
      </c>
      <c r="AL34" s="94"/>
      <c r="AM34" s="94"/>
      <c r="AN34" s="86">
        <f t="shared" si="33"/>
        <v>0</v>
      </c>
      <c r="AO34" s="86">
        <f t="shared" si="33"/>
        <v>0</v>
      </c>
      <c r="AP34" s="94"/>
      <c r="AQ34" s="94"/>
      <c r="AR34" s="86">
        <f t="shared" si="34"/>
        <v>0</v>
      </c>
      <c r="AS34" s="86">
        <f t="shared" si="34"/>
        <v>0</v>
      </c>
      <c r="AT34" s="94"/>
      <c r="AU34" s="94"/>
      <c r="AW34" s="89">
        <f t="shared" si="13"/>
        <v>0</v>
      </c>
      <c r="AX34" s="89">
        <f t="shared" si="14"/>
        <v>0</v>
      </c>
      <c r="AY34" s="89">
        <f t="shared" si="15"/>
        <v>0</v>
      </c>
      <c r="AZ34" s="89">
        <f t="shared" si="16"/>
        <v>0</v>
      </c>
      <c r="BB34" s="96">
        <f t="shared" si="17"/>
        <v>0</v>
      </c>
      <c r="BC34" s="96">
        <f t="shared" si="17"/>
        <v>0</v>
      </c>
      <c r="BD34" s="84" t="str">
        <f t="shared" si="18"/>
        <v/>
      </c>
      <c r="BE34" s="84" t="str">
        <f t="shared" si="18"/>
        <v/>
      </c>
      <c r="BF34" s="88"/>
      <c r="BG34" s="97" t="str">
        <f t="shared" si="19"/>
        <v/>
      </c>
      <c r="BH34" s="88"/>
      <c r="BI34" s="85">
        <f t="shared" si="20"/>
        <v>0</v>
      </c>
      <c r="BJ34" s="85">
        <f t="shared" si="20"/>
        <v>0</v>
      </c>
      <c r="BK34" s="12"/>
      <c r="BL34" s="12"/>
      <c r="BM34" s="98">
        <f t="shared" si="35"/>
        <v>0</v>
      </c>
      <c r="BN34" s="99">
        <f t="shared" si="36"/>
        <v>0</v>
      </c>
      <c r="BO34" s="98">
        <f t="shared" si="37"/>
        <v>0</v>
      </c>
      <c r="BP34" s="99">
        <f t="shared" si="38"/>
        <v>0</v>
      </c>
      <c r="BQ34" s="12"/>
      <c r="BR34" s="12"/>
      <c r="BS34" s="12"/>
      <c r="BT34" s="12"/>
      <c r="BU34" s="98">
        <f t="shared" si="46"/>
        <v>0</v>
      </c>
      <c r="BV34" s="99">
        <f t="shared" si="45"/>
        <v>0</v>
      </c>
      <c r="BW34" s="98">
        <f t="shared" si="47"/>
        <v>0</v>
      </c>
      <c r="BX34" s="99">
        <f t="shared" si="23"/>
        <v>0</v>
      </c>
      <c r="BY34" s="105"/>
      <c r="BZ34" s="85">
        <f t="shared" si="39"/>
        <v>0</v>
      </c>
      <c r="CA34" s="85">
        <f t="shared" si="39"/>
        <v>0</v>
      </c>
      <c r="CB34" s="88"/>
      <c r="CC34" s="88"/>
      <c r="CD34" s="12"/>
      <c r="CE34" s="12"/>
      <c r="CF34" s="98">
        <f t="shared" si="40"/>
        <v>0</v>
      </c>
      <c r="CG34" s="99">
        <f t="shared" si="41"/>
        <v>0</v>
      </c>
      <c r="CH34" s="98">
        <f t="shared" si="42"/>
        <v>0</v>
      </c>
      <c r="CI34" s="99">
        <f t="shared" si="43"/>
        <v>0</v>
      </c>
      <c r="CJ34" s="101"/>
      <c r="CK34" s="101"/>
      <c r="CL34" s="101"/>
      <c r="CQ34" s="108"/>
      <c r="CS34" s="102"/>
      <c r="CT34" s="103"/>
      <c r="CU34" s="104"/>
      <c r="CV34" s="105"/>
      <c r="CW34" s="82"/>
      <c r="CX34" s="82"/>
      <c r="CY34" s="82"/>
      <c r="CZ34" s="82"/>
      <c r="DA34" s="82"/>
      <c r="DB34" s="82"/>
      <c r="DC34" s="8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06"/>
      <c r="DP34" s="80"/>
      <c r="DQ34" s="80"/>
      <c r="DR34" s="94"/>
      <c r="DS34" s="80"/>
      <c r="DT34" s="80"/>
      <c r="DU34" s="80"/>
    </row>
    <row r="35" spans="1:125" ht="14.25" customHeight="1" x14ac:dyDescent="0.25">
      <c r="A35" s="80">
        <f t="shared" si="44"/>
        <v>19</v>
      </c>
      <c r="B35" s="81"/>
      <c r="C35" s="82"/>
      <c r="D35" s="83" t="str">
        <f t="shared" si="24"/>
        <v/>
      </c>
      <c r="E35" s="84" t="str">
        <f t="shared" si="25"/>
        <v/>
      </c>
      <c r="F35" s="85">
        <f t="shared" si="26"/>
        <v>0</v>
      </c>
      <c r="G35" s="85">
        <f t="shared" si="9"/>
        <v>0</v>
      </c>
      <c r="H35" s="12"/>
      <c r="I35" s="12"/>
      <c r="J35" s="86">
        <f t="shared" si="10"/>
        <v>0</v>
      </c>
      <c r="K35" s="86">
        <f t="shared" si="10"/>
        <v>0</v>
      </c>
      <c r="L35" s="87"/>
      <c r="M35" s="87"/>
      <c r="N35" s="87"/>
      <c r="O35" s="87"/>
      <c r="P35" s="87"/>
      <c r="Q35" s="87"/>
      <c r="R35" s="87"/>
      <c r="S35" s="87"/>
      <c r="T35" s="86">
        <f t="shared" si="27"/>
        <v>0</v>
      </c>
      <c r="U35" s="86">
        <f t="shared" si="28"/>
        <v>0</v>
      </c>
      <c r="V35" s="88"/>
      <c r="W35" s="12"/>
      <c r="X35" s="89">
        <f t="shared" si="11"/>
        <v>0</v>
      </c>
      <c r="Y35" s="12"/>
      <c r="Z35" s="89">
        <f t="shared" si="12"/>
        <v>0</v>
      </c>
      <c r="AA35" s="90"/>
      <c r="AB35" s="91" t="str">
        <f t="shared" si="29"/>
        <v/>
      </c>
      <c r="AC35" s="83" t="str">
        <f t="shared" si="30"/>
        <v/>
      </c>
      <c r="AD35" s="83" t="str">
        <f t="shared" si="31"/>
        <v/>
      </c>
      <c r="AE35" s="83" t="str">
        <f t="shared" si="31"/>
        <v/>
      </c>
      <c r="AF35" s="80"/>
      <c r="AG35" s="94"/>
      <c r="AH35" s="94"/>
      <c r="AI35" s="94"/>
      <c r="AJ35" s="86">
        <f t="shared" si="32"/>
        <v>0</v>
      </c>
      <c r="AK35" s="86">
        <f t="shared" si="32"/>
        <v>0</v>
      </c>
      <c r="AL35" s="94"/>
      <c r="AM35" s="94"/>
      <c r="AN35" s="86">
        <f t="shared" si="33"/>
        <v>0</v>
      </c>
      <c r="AO35" s="86">
        <f t="shared" si="33"/>
        <v>0</v>
      </c>
      <c r="AP35" s="94"/>
      <c r="AQ35" s="94"/>
      <c r="AR35" s="86">
        <f t="shared" si="34"/>
        <v>0</v>
      </c>
      <c r="AS35" s="86">
        <f t="shared" si="34"/>
        <v>0</v>
      </c>
      <c r="AT35" s="94"/>
      <c r="AU35" s="94"/>
      <c r="AW35" s="89">
        <f t="shared" si="13"/>
        <v>0</v>
      </c>
      <c r="AX35" s="89">
        <f t="shared" si="14"/>
        <v>0</v>
      </c>
      <c r="AY35" s="89">
        <f t="shared" si="15"/>
        <v>0</v>
      </c>
      <c r="AZ35" s="89">
        <f t="shared" si="16"/>
        <v>0</v>
      </c>
      <c r="BB35" s="96">
        <f t="shared" si="17"/>
        <v>0</v>
      </c>
      <c r="BC35" s="96">
        <f t="shared" si="17"/>
        <v>0</v>
      </c>
      <c r="BD35" s="84" t="str">
        <f t="shared" si="18"/>
        <v/>
      </c>
      <c r="BE35" s="84" t="str">
        <f t="shared" si="18"/>
        <v/>
      </c>
      <c r="BF35" s="88"/>
      <c r="BG35" s="97" t="str">
        <f t="shared" si="19"/>
        <v/>
      </c>
      <c r="BH35" s="88"/>
      <c r="BI35" s="85">
        <f t="shared" si="20"/>
        <v>0</v>
      </c>
      <c r="BJ35" s="85">
        <f t="shared" si="20"/>
        <v>0</v>
      </c>
      <c r="BK35" s="12"/>
      <c r="BL35" s="12"/>
      <c r="BM35" s="98">
        <f t="shared" si="35"/>
        <v>0</v>
      </c>
      <c r="BN35" s="99">
        <f t="shared" si="36"/>
        <v>0</v>
      </c>
      <c r="BO35" s="98">
        <f t="shared" si="37"/>
        <v>0</v>
      </c>
      <c r="BP35" s="99">
        <f t="shared" si="38"/>
        <v>0</v>
      </c>
      <c r="BQ35" s="12"/>
      <c r="BR35" s="12"/>
      <c r="BS35" s="12"/>
      <c r="BT35" s="12"/>
      <c r="BU35" s="98">
        <f t="shared" si="46"/>
        <v>0</v>
      </c>
      <c r="BV35" s="99">
        <f t="shared" si="45"/>
        <v>0</v>
      </c>
      <c r="BW35" s="98">
        <f t="shared" si="47"/>
        <v>0</v>
      </c>
      <c r="BX35" s="99">
        <f t="shared" si="23"/>
        <v>0</v>
      </c>
      <c r="BY35" s="105"/>
      <c r="BZ35" s="85">
        <f t="shared" si="39"/>
        <v>0</v>
      </c>
      <c r="CA35" s="85">
        <f t="shared" si="39"/>
        <v>0</v>
      </c>
      <c r="CB35" s="88"/>
      <c r="CC35" s="88"/>
      <c r="CD35" s="12"/>
      <c r="CE35" s="12"/>
      <c r="CF35" s="98">
        <f t="shared" si="40"/>
        <v>0</v>
      </c>
      <c r="CG35" s="99">
        <f t="shared" si="41"/>
        <v>0</v>
      </c>
      <c r="CH35" s="98">
        <f t="shared" si="42"/>
        <v>0</v>
      </c>
      <c r="CI35" s="99">
        <f t="shared" si="43"/>
        <v>0</v>
      </c>
      <c r="CJ35" s="101"/>
      <c r="CK35" s="101"/>
      <c r="CL35" s="101"/>
      <c r="CQ35" s="6"/>
      <c r="CS35" s="102"/>
      <c r="CT35" s="103"/>
      <c r="CU35" s="104"/>
      <c r="CV35" s="105"/>
      <c r="CW35" s="82"/>
      <c r="CX35" s="82"/>
      <c r="CY35" s="82"/>
      <c r="CZ35" s="82"/>
      <c r="DA35" s="82"/>
      <c r="DB35" s="82"/>
      <c r="DC35" s="8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06"/>
      <c r="DP35" s="80"/>
      <c r="DQ35" s="80"/>
      <c r="DR35" s="94"/>
      <c r="DS35" s="80"/>
      <c r="DT35" s="80"/>
      <c r="DU35" s="80"/>
    </row>
    <row r="36" spans="1:125" ht="14.25" customHeight="1" x14ac:dyDescent="0.25">
      <c r="A36" s="80">
        <f t="shared" si="44"/>
        <v>20</v>
      </c>
      <c r="B36" s="81"/>
      <c r="C36" s="82"/>
      <c r="D36" s="83" t="str">
        <f t="shared" si="24"/>
        <v/>
      </c>
      <c r="E36" s="84" t="str">
        <f t="shared" si="25"/>
        <v/>
      </c>
      <c r="F36" s="85">
        <f t="shared" si="26"/>
        <v>0</v>
      </c>
      <c r="G36" s="85">
        <f t="shared" si="9"/>
        <v>0</v>
      </c>
      <c r="H36" s="12"/>
      <c r="I36" s="12"/>
      <c r="J36" s="86">
        <f t="shared" si="10"/>
        <v>0</v>
      </c>
      <c r="K36" s="86">
        <f t="shared" si="10"/>
        <v>0</v>
      </c>
      <c r="L36" s="87"/>
      <c r="M36" s="87"/>
      <c r="N36" s="87"/>
      <c r="O36" s="87"/>
      <c r="P36" s="87"/>
      <c r="Q36" s="87"/>
      <c r="R36" s="87"/>
      <c r="S36" s="87"/>
      <c r="T36" s="86">
        <f t="shared" si="27"/>
        <v>0</v>
      </c>
      <c r="U36" s="86">
        <f t="shared" si="28"/>
        <v>0</v>
      </c>
      <c r="V36" s="88"/>
      <c r="W36" s="12"/>
      <c r="X36" s="89">
        <f t="shared" si="11"/>
        <v>0</v>
      </c>
      <c r="Y36" s="12"/>
      <c r="Z36" s="89">
        <f t="shared" si="12"/>
        <v>0</v>
      </c>
      <c r="AA36" s="90"/>
      <c r="AB36" s="91" t="str">
        <f t="shared" si="29"/>
        <v/>
      </c>
      <c r="AC36" s="83" t="str">
        <f t="shared" si="30"/>
        <v/>
      </c>
      <c r="AD36" s="83" t="str">
        <f t="shared" si="31"/>
        <v/>
      </c>
      <c r="AE36" s="83" t="str">
        <f t="shared" si="31"/>
        <v/>
      </c>
      <c r="AF36" s="80"/>
      <c r="AG36" s="94"/>
      <c r="AH36" s="94"/>
      <c r="AI36" s="94"/>
      <c r="AJ36" s="86">
        <f t="shared" si="32"/>
        <v>0</v>
      </c>
      <c r="AK36" s="86">
        <f t="shared" si="32"/>
        <v>0</v>
      </c>
      <c r="AL36" s="94"/>
      <c r="AM36" s="94"/>
      <c r="AN36" s="86">
        <f t="shared" si="33"/>
        <v>0</v>
      </c>
      <c r="AO36" s="86">
        <f t="shared" si="33"/>
        <v>0</v>
      </c>
      <c r="AP36" s="94"/>
      <c r="AQ36" s="94"/>
      <c r="AR36" s="86">
        <f t="shared" si="34"/>
        <v>0</v>
      </c>
      <c r="AS36" s="86">
        <f t="shared" si="34"/>
        <v>0</v>
      </c>
      <c r="AT36" s="94"/>
      <c r="AU36" s="94"/>
      <c r="AW36" s="89">
        <f t="shared" si="13"/>
        <v>0</v>
      </c>
      <c r="AX36" s="89">
        <f t="shared" si="14"/>
        <v>0</v>
      </c>
      <c r="AY36" s="89">
        <f t="shared" si="15"/>
        <v>0</v>
      </c>
      <c r="AZ36" s="89">
        <f t="shared" si="16"/>
        <v>0</v>
      </c>
      <c r="BB36" s="96">
        <f t="shared" si="17"/>
        <v>0</v>
      </c>
      <c r="BC36" s="96">
        <f t="shared" si="17"/>
        <v>0</v>
      </c>
      <c r="BD36" s="84" t="str">
        <f t="shared" si="18"/>
        <v/>
      </c>
      <c r="BE36" s="84" t="str">
        <f t="shared" si="18"/>
        <v/>
      </c>
      <c r="BF36" s="88"/>
      <c r="BG36" s="97" t="str">
        <f t="shared" si="19"/>
        <v/>
      </c>
      <c r="BH36" s="88"/>
      <c r="BI36" s="85">
        <f t="shared" si="20"/>
        <v>0</v>
      </c>
      <c r="BJ36" s="85">
        <f t="shared" si="20"/>
        <v>0</v>
      </c>
      <c r="BK36" s="12"/>
      <c r="BL36" s="12"/>
      <c r="BM36" s="98">
        <f t="shared" si="35"/>
        <v>0</v>
      </c>
      <c r="BN36" s="99">
        <f t="shared" si="36"/>
        <v>0</v>
      </c>
      <c r="BO36" s="98">
        <f t="shared" si="37"/>
        <v>0</v>
      </c>
      <c r="BP36" s="99">
        <f t="shared" si="38"/>
        <v>0</v>
      </c>
      <c r="BQ36" s="12"/>
      <c r="BR36" s="12"/>
      <c r="BS36" s="12"/>
      <c r="BT36" s="12"/>
      <c r="BU36" s="98">
        <f t="shared" si="46"/>
        <v>0</v>
      </c>
      <c r="BV36" s="99">
        <f t="shared" si="45"/>
        <v>0</v>
      </c>
      <c r="BW36" s="98">
        <f t="shared" si="47"/>
        <v>0</v>
      </c>
      <c r="BX36" s="99">
        <f t="shared" si="23"/>
        <v>0</v>
      </c>
      <c r="BY36" s="105"/>
      <c r="BZ36" s="85">
        <f t="shared" si="39"/>
        <v>0</v>
      </c>
      <c r="CA36" s="85">
        <f t="shared" si="39"/>
        <v>0</v>
      </c>
      <c r="CB36" s="88"/>
      <c r="CC36" s="88"/>
      <c r="CD36" s="12"/>
      <c r="CE36" s="12"/>
      <c r="CF36" s="98">
        <f t="shared" si="40"/>
        <v>0</v>
      </c>
      <c r="CG36" s="99">
        <f t="shared" si="41"/>
        <v>0</v>
      </c>
      <c r="CH36" s="98">
        <f t="shared" si="42"/>
        <v>0</v>
      </c>
      <c r="CI36" s="99">
        <f t="shared" si="43"/>
        <v>0</v>
      </c>
      <c r="CJ36" s="101"/>
      <c r="CK36" s="101"/>
      <c r="CL36" s="101"/>
      <c r="CQ36" s="6"/>
      <c r="CS36" s="102"/>
      <c r="CT36" s="103"/>
      <c r="CU36" s="104"/>
      <c r="CV36" s="105"/>
      <c r="CW36" s="82"/>
      <c r="CX36" s="82"/>
      <c r="CY36" s="82"/>
      <c r="CZ36" s="82"/>
      <c r="DA36" s="82"/>
      <c r="DB36" s="82"/>
      <c r="DC36" s="8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06"/>
      <c r="DP36" s="80"/>
      <c r="DQ36" s="80"/>
      <c r="DR36" s="94"/>
      <c r="DS36" s="80"/>
      <c r="DT36" s="80"/>
      <c r="DU36" s="80"/>
    </row>
    <row r="37" spans="1:125" ht="14.25" customHeight="1" x14ac:dyDescent="0.25">
      <c r="A37" s="80">
        <f t="shared" si="44"/>
        <v>21</v>
      </c>
      <c r="B37" s="81"/>
      <c r="C37" s="82"/>
      <c r="D37" s="83" t="str">
        <f t="shared" si="24"/>
        <v/>
      </c>
      <c r="E37" s="84" t="str">
        <f t="shared" si="25"/>
        <v/>
      </c>
      <c r="F37" s="85">
        <f t="shared" si="26"/>
        <v>0</v>
      </c>
      <c r="G37" s="85">
        <f t="shared" si="9"/>
        <v>0</v>
      </c>
      <c r="H37" s="12"/>
      <c r="I37" s="12"/>
      <c r="J37" s="86">
        <f t="shared" si="10"/>
        <v>0</v>
      </c>
      <c r="K37" s="86">
        <f t="shared" si="10"/>
        <v>0</v>
      </c>
      <c r="L37" s="87"/>
      <c r="M37" s="87"/>
      <c r="N37" s="87"/>
      <c r="O37" s="87"/>
      <c r="P37" s="87"/>
      <c r="Q37" s="87"/>
      <c r="R37" s="87"/>
      <c r="S37" s="87"/>
      <c r="T37" s="86">
        <f t="shared" si="27"/>
        <v>0</v>
      </c>
      <c r="U37" s="86">
        <f t="shared" si="28"/>
        <v>0</v>
      </c>
      <c r="V37" s="88"/>
      <c r="W37" s="12"/>
      <c r="X37" s="89">
        <f t="shared" si="11"/>
        <v>0</v>
      </c>
      <c r="Y37" s="12"/>
      <c r="Z37" s="89">
        <f t="shared" si="12"/>
        <v>0</v>
      </c>
      <c r="AA37" s="90"/>
      <c r="AB37" s="91" t="str">
        <f t="shared" si="29"/>
        <v/>
      </c>
      <c r="AC37" s="83" t="str">
        <f t="shared" si="30"/>
        <v/>
      </c>
      <c r="AD37" s="83" t="str">
        <f t="shared" si="31"/>
        <v/>
      </c>
      <c r="AE37" s="83" t="str">
        <f t="shared" si="31"/>
        <v/>
      </c>
      <c r="AF37" s="80"/>
      <c r="AG37" s="94"/>
      <c r="AH37" s="94"/>
      <c r="AI37" s="94"/>
      <c r="AJ37" s="86">
        <f t="shared" si="32"/>
        <v>0</v>
      </c>
      <c r="AK37" s="86">
        <f t="shared" si="32"/>
        <v>0</v>
      </c>
      <c r="AL37" s="94"/>
      <c r="AM37" s="94"/>
      <c r="AN37" s="86">
        <f t="shared" si="33"/>
        <v>0</v>
      </c>
      <c r="AO37" s="86">
        <f t="shared" si="33"/>
        <v>0</v>
      </c>
      <c r="AP37" s="94"/>
      <c r="AQ37" s="94"/>
      <c r="AR37" s="86">
        <f t="shared" si="34"/>
        <v>0</v>
      </c>
      <c r="AS37" s="86">
        <f t="shared" si="34"/>
        <v>0</v>
      </c>
      <c r="AT37" s="94"/>
      <c r="AU37" s="94"/>
      <c r="AW37" s="89">
        <f t="shared" si="13"/>
        <v>0</v>
      </c>
      <c r="AX37" s="89">
        <f t="shared" si="14"/>
        <v>0</v>
      </c>
      <c r="AY37" s="89">
        <f t="shared" si="15"/>
        <v>0</v>
      </c>
      <c r="AZ37" s="89">
        <f t="shared" si="16"/>
        <v>0</v>
      </c>
      <c r="BB37" s="96">
        <f t="shared" si="17"/>
        <v>0</v>
      </c>
      <c r="BC37" s="96">
        <f t="shared" si="17"/>
        <v>0</v>
      </c>
      <c r="BD37" s="84" t="str">
        <f t="shared" si="18"/>
        <v/>
      </c>
      <c r="BE37" s="84" t="str">
        <f t="shared" si="18"/>
        <v/>
      </c>
      <c r="BF37" s="88"/>
      <c r="BG37" s="97" t="str">
        <f t="shared" si="19"/>
        <v/>
      </c>
      <c r="BH37" s="88"/>
      <c r="BI37" s="85">
        <f t="shared" si="20"/>
        <v>0</v>
      </c>
      <c r="BJ37" s="85">
        <f t="shared" si="20"/>
        <v>0</v>
      </c>
      <c r="BK37" s="12"/>
      <c r="BL37" s="12"/>
      <c r="BM37" s="98">
        <f t="shared" si="35"/>
        <v>0</v>
      </c>
      <c r="BN37" s="99">
        <f t="shared" si="36"/>
        <v>0</v>
      </c>
      <c r="BO37" s="98">
        <f t="shared" si="37"/>
        <v>0</v>
      </c>
      <c r="BP37" s="99">
        <f t="shared" si="38"/>
        <v>0</v>
      </c>
      <c r="BQ37" s="12"/>
      <c r="BR37" s="12"/>
      <c r="BS37" s="12"/>
      <c r="BT37" s="12"/>
      <c r="BU37" s="98">
        <f t="shared" si="46"/>
        <v>0</v>
      </c>
      <c r="BV37" s="99">
        <f t="shared" si="45"/>
        <v>0</v>
      </c>
      <c r="BW37" s="98">
        <f t="shared" si="47"/>
        <v>0</v>
      </c>
      <c r="BX37" s="99">
        <f t="shared" si="23"/>
        <v>0</v>
      </c>
      <c r="BY37" s="105"/>
      <c r="BZ37" s="85">
        <f t="shared" si="39"/>
        <v>0</v>
      </c>
      <c r="CA37" s="85">
        <f t="shared" si="39"/>
        <v>0</v>
      </c>
      <c r="CB37" s="88"/>
      <c r="CC37" s="88"/>
      <c r="CD37" s="12"/>
      <c r="CE37" s="12"/>
      <c r="CF37" s="98">
        <f t="shared" si="40"/>
        <v>0</v>
      </c>
      <c r="CG37" s="99">
        <f t="shared" si="41"/>
        <v>0</v>
      </c>
      <c r="CH37" s="98">
        <f t="shared" si="42"/>
        <v>0</v>
      </c>
      <c r="CI37" s="99">
        <f t="shared" si="43"/>
        <v>0</v>
      </c>
      <c r="CJ37" s="101"/>
      <c r="CK37" s="101"/>
      <c r="CL37" s="101"/>
      <c r="CQ37" s="6"/>
      <c r="CS37" s="102"/>
      <c r="CT37" s="103"/>
      <c r="CU37" s="104"/>
      <c r="CV37" s="105"/>
      <c r="CW37" s="82"/>
      <c r="CX37" s="82"/>
      <c r="CY37" s="82"/>
      <c r="CZ37" s="82"/>
      <c r="DA37" s="82"/>
      <c r="DB37" s="82"/>
      <c r="DC37" s="8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06"/>
      <c r="DP37" s="80"/>
      <c r="DQ37" s="80"/>
      <c r="DR37" s="94"/>
      <c r="DS37" s="80"/>
      <c r="DT37" s="80"/>
      <c r="DU37" s="80"/>
    </row>
    <row r="38" spans="1:125" ht="14.25" customHeight="1" x14ac:dyDescent="0.25">
      <c r="A38" s="80">
        <f t="shared" si="44"/>
        <v>22</v>
      </c>
      <c r="B38" s="81"/>
      <c r="C38" s="82"/>
      <c r="D38" s="83" t="str">
        <f t="shared" si="24"/>
        <v/>
      </c>
      <c r="E38" s="84" t="str">
        <f t="shared" si="25"/>
        <v/>
      </c>
      <c r="F38" s="85">
        <f t="shared" si="26"/>
        <v>0</v>
      </c>
      <c r="G38" s="85">
        <f t="shared" si="9"/>
        <v>0</v>
      </c>
      <c r="H38" s="12"/>
      <c r="I38" s="12"/>
      <c r="J38" s="86">
        <f t="shared" si="10"/>
        <v>0</v>
      </c>
      <c r="K38" s="86">
        <f t="shared" si="10"/>
        <v>0</v>
      </c>
      <c r="L38" s="87"/>
      <c r="M38" s="87"/>
      <c r="N38" s="87"/>
      <c r="O38" s="87"/>
      <c r="P38" s="87"/>
      <c r="Q38" s="87"/>
      <c r="R38" s="87"/>
      <c r="S38" s="87"/>
      <c r="T38" s="86">
        <f t="shared" si="27"/>
        <v>0</v>
      </c>
      <c r="U38" s="86">
        <f t="shared" si="28"/>
        <v>0</v>
      </c>
      <c r="V38" s="88"/>
      <c r="W38" s="12"/>
      <c r="X38" s="89">
        <f t="shared" si="11"/>
        <v>0</v>
      </c>
      <c r="Y38" s="12"/>
      <c r="Z38" s="89">
        <f t="shared" si="12"/>
        <v>0</v>
      </c>
      <c r="AA38" s="90"/>
      <c r="AB38" s="91" t="str">
        <f t="shared" si="29"/>
        <v/>
      </c>
      <c r="AC38" s="83" t="str">
        <f t="shared" si="30"/>
        <v/>
      </c>
      <c r="AD38" s="83" t="str">
        <f t="shared" si="31"/>
        <v/>
      </c>
      <c r="AE38" s="83" t="str">
        <f t="shared" si="31"/>
        <v/>
      </c>
      <c r="AF38" s="80"/>
      <c r="AG38" s="94"/>
      <c r="AH38" s="94"/>
      <c r="AI38" s="94"/>
      <c r="AJ38" s="86">
        <f t="shared" si="32"/>
        <v>0</v>
      </c>
      <c r="AK38" s="86">
        <f t="shared" si="32"/>
        <v>0</v>
      </c>
      <c r="AL38" s="94"/>
      <c r="AM38" s="94"/>
      <c r="AN38" s="86">
        <f t="shared" si="33"/>
        <v>0</v>
      </c>
      <c r="AO38" s="86">
        <f t="shared" si="33"/>
        <v>0</v>
      </c>
      <c r="AP38" s="94"/>
      <c r="AQ38" s="94"/>
      <c r="AR38" s="86">
        <f t="shared" si="34"/>
        <v>0</v>
      </c>
      <c r="AS38" s="86">
        <f t="shared" si="34"/>
        <v>0</v>
      </c>
      <c r="AT38" s="94"/>
      <c r="AU38" s="94"/>
      <c r="AW38" s="89">
        <f t="shared" si="13"/>
        <v>0</v>
      </c>
      <c r="AX38" s="89">
        <f t="shared" si="14"/>
        <v>0</v>
      </c>
      <c r="AY38" s="89">
        <f t="shared" si="15"/>
        <v>0</v>
      </c>
      <c r="AZ38" s="89">
        <f t="shared" si="16"/>
        <v>0</v>
      </c>
      <c r="BB38" s="96">
        <f t="shared" si="17"/>
        <v>0</v>
      </c>
      <c r="BC38" s="96">
        <f t="shared" si="17"/>
        <v>0</v>
      </c>
      <c r="BD38" s="84" t="str">
        <f t="shared" si="18"/>
        <v/>
      </c>
      <c r="BE38" s="84" t="str">
        <f t="shared" si="18"/>
        <v/>
      </c>
      <c r="BF38" s="88"/>
      <c r="BG38" s="97" t="str">
        <f t="shared" si="19"/>
        <v/>
      </c>
      <c r="BH38" s="88"/>
      <c r="BI38" s="85">
        <f t="shared" si="20"/>
        <v>0</v>
      </c>
      <c r="BJ38" s="85">
        <f t="shared" si="20"/>
        <v>0</v>
      </c>
      <c r="BK38" s="12"/>
      <c r="BL38" s="12"/>
      <c r="BM38" s="98">
        <f t="shared" si="35"/>
        <v>0</v>
      </c>
      <c r="BN38" s="99">
        <f t="shared" si="36"/>
        <v>0</v>
      </c>
      <c r="BO38" s="98">
        <f t="shared" si="37"/>
        <v>0</v>
      </c>
      <c r="BP38" s="99">
        <f t="shared" si="38"/>
        <v>0</v>
      </c>
      <c r="BQ38" s="12"/>
      <c r="BR38" s="12"/>
      <c r="BS38" s="12"/>
      <c r="BT38" s="12"/>
      <c r="BU38" s="98">
        <f t="shared" si="46"/>
        <v>0</v>
      </c>
      <c r="BV38" s="99">
        <f t="shared" si="45"/>
        <v>0</v>
      </c>
      <c r="BW38" s="98">
        <f t="shared" si="47"/>
        <v>0</v>
      </c>
      <c r="BX38" s="99">
        <f t="shared" si="23"/>
        <v>0</v>
      </c>
      <c r="BY38" s="105"/>
      <c r="BZ38" s="85">
        <f t="shared" si="39"/>
        <v>0</v>
      </c>
      <c r="CA38" s="85">
        <f t="shared" si="39"/>
        <v>0</v>
      </c>
      <c r="CB38" s="88"/>
      <c r="CC38" s="88"/>
      <c r="CD38" s="12"/>
      <c r="CE38" s="12"/>
      <c r="CF38" s="98">
        <f t="shared" si="40"/>
        <v>0</v>
      </c>
      <c r="CG38" s="99">
        <f t="shared" si="41"/>
        <v>0</v>
      </c>
      <c r="CH38" s="98">
        <f t="shared" si="42"/>
        <v>0</v>
      </c>
      <c r="CI38" s="99">
        <f t="shared" si="43"/>
        <v>0</v>
      </c>
      <c r="CJ38" s="101"/>
      <c r="CK38" s="101"/>
      <c r="CL38" s="101"/>
      <c r="CQ38" s="6"/>
      <c r="CS38" s="102"/>
      <c r="CT38" s="103"/>
      <c r="CU38" s="104"/>
      <c r="CV38" s="105"/>
      <c r="CW38" s="82"/>
      <c r="CX38" s="82"/>
      <c r="CY38" s="82"/>
      <c r="CZ38" s="82"/>
      <c r="DA38" s="82"/>
      <c r="DB38" s="82"/>
      <c r="DC38" s="8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06"/>
      <c r="DP38" s="80"/>
      <c r="DQ38" s="80"/>
      <c r="DR38" s="94"/>
      <c r="DS38" s="80"/>
      <c r="DT38" s="80"/>
      <c r="DU38" s="80"/>
    </row>
    <row r="39" spans="1:125" ht="14.25" customHeight="1" x14ac:dyDescent="0.25">
      <c r="A39" s="80">
        <f t="shared" si="44"/>
        <v>23</v>
      </c>
      <c r="B39" s="81"/>
      <c r="C39" s="82"/>
      <c r="D39" s="83" t="str">
        <f t="shared" si="24"/>
        <v/>
      </c>
      <c r="E39" s="84" t="str">
        <f t="shared" si="25"/>
        <v/>
      </c>
      <c r="F39" s="85">
        <f t="shared" si="26"/>
        <v>0</v>
      </c>
      <c r="G39" s="85">
        <f t="shared" si="9"/>
        <v>0</v>
      </c>
      <c r="H39" s="12"/>
      <c r="I39" s="12"/>
      <c r="J39" s="86">
        <f t="shared" si="10"/>
        <v>0</v>
      </c>
      <c r="K39" s="86">
        <f t="shared" si="10"/>
        <v>0</v>
      </c>
      <c r="L39" s="87"/>
      <c r="M39" s="87"/>
      <c r="N39" s="87"/>
      <c r="O39" s="87"/>
      <c r="P39" s="87"/>
      <c r="Q39" s="87"/>
      <c r="R39" s="87"/>
      <c r="S39" s="87"/>
      <c r="T39" s="86">
        <f t="shared" si="27"/>
        <v>0</v>
      </c>
      <c r="U39" s="86">
        <f t="shared" si="28"/>
        <v>0</v>
      </c>
      <c r="V39" s="88"/>
      <c r="W39" s="12"/>
      <c r="X39" s="89">
        <f t="shared" si="11"/>
        <v>0</v>
      </c>
      <c r="Y39" s="12"/>
      <c r="Z39" s="89">
        <f t="shared" si="12"/>
        <v>0</v>
      </c>
      <c r="AA39" s="90"/>
      <c r="AB39" s="91" t="str">
        <f t="shared" si="29"/>
        <v/>
      </c>
      <c r="AC39" s="83" t="str">
        <f t="shared" si="30"/>
        <v/>
      </c>
      <c r="AD39" s="83" t="str">
        <f t="shared" si="31"/>
        <v/>
      </c>
      <c r="AE39" s="83" t="str">
        <f t="shared" si="31"/>
        <v/>
      </c>
      <c r="AF39" s="80"/>
      <c r="AG39" s="94"/>
      <c r="AH39" s="94"/>
      <c r="AI39" s="94"/>
      <c r="AJ39" s="86">
        <f t="shared" si="32"/>
        <v>0</v>
      </c>
      <c r="AK39" s="86">
        <f t="shared" si="32"/>
        <v>0</v>
      </c>
      <c r="AL39" s="94"/>
      <c r="AM39" s="94"/>
      <c r="AN39" s="86">
        <f t="shared" si="33"/>
        <v>0</v>
      </c>
      <c r="AO39" s="86">
        <f t="shared" si="33"/>
        <v>0</v>
      </c>
      <c r="AP39" s="94"/>
      <c r="AQ39" s="94"/>
      <c r="AR39" s="86">
        <f t="shared" si="34"/>
        <v>0</v>
      </c>
      <c r="AS39" s="86">
        <f t="shared" si="34"/>
        <v>0</v>
      </c>
      <c r="AT39" s="94"/>
      <c r="AU39" s="94"/>
      <c r="AW39" s="89">
        <f t="shared" si="13"/>
        <v>0</v>
      </c>
      <c r="AX39" s="89">
        <f t="shared" si="14"/>
        <v>0</v>
      </c>
      <c r="AY39" s="89">
        <f t="shared" si="15"/>
        <v>0</v>
      </c>
      <c r="AZ39" s="89">
        <f t="shared" si="16"/>
        <v>0</v>
      </c>
      <c r="BB39" s="96">
        <f t="shared" si="17"/>
        <v>0</v>
      </c>
      <c r="BC39" s="96">
        <f t="shared" si="17"/>
        <v>0</v>
      </c>
      <c r="BD39" s="84" t="str">
        <f t="shared" si="18"/>
        <v/>
      </c>
      <c r="BE39" s="84" t="str">
        <f t="shared" si="18"/>
        <v/>
      </c>
      <c r="BF39" s="88"/>
      <c r="BG39" s="97" t="str">
        <f t="shared" si="19"/>
        <v/>
      </c>
      <c r="BH39" s="88"/>
      <c r="BI39" s="85">
        <f t="shared" si="20"/>
        <v>0</v>
      </c>
      <c r="BJ39" s="85">
        <f t="shared" si="20"/>
        <v>0</v>
      </c>
      <c r="BK39" s="12"/>
      <c r="BL39" s="12"/>
      <c r="BM39" s="98">
        <f t="shared" si="35"/>
        <v>0</v>
      </c>
      <c r="BN39" s="99">
        <f t="shared" si="36"/>
        <v>0</v>
      </c>
      <c r="BO39" s="98">
        <f t="shared" si="37"/>
        <v>0</v>
      </c>
      <c r="BP39" s="99">
        <f t="shared" si="38"/>
        <v>0</v>
      </c>
      <c r="BQ39" s="12"/>
      <c r="BR39" s="12"/>
      <c r="BS39" s="12"/>
      <c r="BT39" s="12"/>
      <c r="BU39" s="98">
        <f t="shared" si="46"/>
        <v>0</v>
      </c>
      <c r="BV39" s="99">
        <f t="shared" si="45"/>
        <v>0</v>
      </c>
      <c r="BW39" s="98">
        <f t="shared" si="47"/>
        <v>0</v>
      </c>
      <c r="BX39" s="99">
        <f t="shared" si="23"/>
        <v>0</v>
      </c>
      <c r="BY39" s="105"/>
      <c r="BZ39" s="85">
        <f t="shared" si="39"/>
        <v>0</v>
      </c>
      <c r="CA39" s="85">
        <f t="shared" si="39"/>
        <v>0</v>
      </c>
      <c r="CB39" s="88"/>
      <c r="CC39" s="88"/>
      <c r="CD39" s="12"/>
      <c r="CE39" s="12"/>
      <c r="CF39" s="98">
        <f t="shared" si="40"/>
        <v>0</v>
      </c>
      <c r="CG39" s="99">
        <f t="shared" si="41"/>
        <v>0</v>
      </c>
      <c r="CH39" s="98">
        <f t="shared" si="42"/>
        <v>0</v>
      </c>
      <c r="CI39" s="99">
        <f t="shared" si="43"/>
        <v>0</v>
      </c>
      <c r="CJ39" s="101"/>
      <c r="CK39" s="101"/>
      <c r="CL39" s="101"/>
      <c r="CQ39" s="6"/>
      <c r="CS39" s="102"/>
      <c r="CT39" s="103"/>
      <c r="CU39" s="104"/>
      <c r="CV39" s="105"/>
      <c r="CW39" s="82"/>
      <c r="CX39" s="82"/>
      <c r="CY39" s="82"/>
      <c r="CZ39" s="82"/>
      <c r="DA39" s="82"/>
      <c r="DB39" s="82"/>
      <c r="DC39" s="8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06"/>
      <c r="DP39" s="80"/>
      <c r="DQ39" s="80"/>
      <c r="DR39" s="94"/>
      <c r="DS39" s="80"/>
      <c r="DT39" s="80"/>
      <c r="DU39" s="80"/>
    </row>
    <row r="40" spans="1:125" ht="14.25" customHeight="1" x14ac:dyDescent="0.25">
      <c r="A40" s="80">
        <f t="shared" si="44"/>
        <v>24</v>
      </c>
      <c r="B40" s="81"/>
      <c r="C40" s="82"/>
      <c r="D40" s="83" t="str">
        <f t="shared" si="24"/>
        <v/>
      </c>
      <c r="E40" s="84" t="str">
        <f t="shared" si="25"/>
        <v/>
      </c>
      <c r="F40" s="85">
        <f t="shared" si="26"/>
        <v>0</v>
      </c>
      <c r="G40" s="85">
        <f t="shared" si="9"/>
        <v>0</v>
      </c>
      <c r="H40" s="12"/>
      <c r="I40" s="12"/>
      <c r="J40" s="86">
        <f t="shared" si="10"/>
        <v>0</v>
      </c>
      <c r="K40" s="86">
        <f t="shared" si="10"/>
        <v>0</v>
      </c>
      <c r="L40" s="87"/>
      <c r="M40" s="87"/>
      <c r="N40" s="87"/>
      <c r="O40" s="87"/>
      <c r="P40" s="87"/>
      <c r="Q40" s="87"/>
      <c r="R40" s="87"/>
      <c r="S40" s="87"/>
      <c r="T40" s="86">
        <f t="shared" si="27"/>
        <v>0</v>
      </c>
      <c r="U40" s="86">
        <f t="shared" si="28"/>
        <v>0</v>
      </c>
      <c r="V40" s="88"/>
      <c r="W40" s="12"/>
      <c r="X40" s="89">
        <f t="shared" si="11"/>
        <v>0</v>
      </c>
      <c r="Y40" s="12"/>
      <c r="Z40" s="89">
        <f t="shared" si="12"/>
        <v>0</v>
      </c>
      <c r="AA40" s="90"/>
      <c r="AB40" s="91" t="str">
        <f t="shared" si="29"/>
        <v/>
      </c>
      <c r="AC40" s="83" t="str">
        <f t="shared" si="30"/>
        <v/>
      </c>
      <c r="AD40" s="83" t="str">
        <f t="shared" si="31"/>
        <v/>
      </c>
      <c r="AE40" s="83" t="str">
        <f t="shared" si="31"/>
        <v/>
      </c>
      <c r="AF40" s="80"/>
      <c r="AG40" s="94"/>
      <c r="AH40" s="94"/>
      <c r="AI40" s="94"/>
      <c r="AJ40" s="86">
        <f t="shared" si="32"/>
        <v>0</v>
      </c>
      <c r="AK40" s="86">
        <f t="shared" si="32"/>
        <v>0</v>
      </c>
      <c r="AL40" s="94"/>
      <c r="AM40" s="94"/>
      <c r="AN40" s="86">
        <f t="shared" si="33"/>
        <v>0</v>
      </c>
      <c r="AO40" s="86">
        <f t="shared" si="33"/>
        <v>0</v>
      </c>
      <c r="AP40" s="94"/>
      <c r="AQ40" s="94"/>
      <c r="AR40" s="86">
        <f t="shared" si="34"/>
        <v>0</v>
      </c>
      <c r="AS40" s="86">
        <f t="shared" si="34"/>
        <v>0</v>
      </c>
      <c r="AT40" s="94"/>
      <c r="AU40" s="94"/>
      <c r="AW40" s="89">
        <f t="shared" si="13"/>
        <v>0</v>
      </c>
      <c r="AX40" s="89">
        <f t="shared" si="14"/>
        <v>0</v>
      </c>
      <c r="AY40" s="89">
        <f t="shared" si="15"/>
        <v>0</v>
      </c>
      <c r="AZ40" s="89">
        <f t="shared" si="16"/>
        <v>0</v>
      </c>
      <c r="BB40" s="96">
        <f t="shared" si="17"/>
        <v>0</v>
      </c>
      <c r="BC40" s="96">
        <f t="shared" si="17"/>
        <v>0</v>
      </c>
      <c r="BD40" s="84" t="str">
        <f t="shared" si="18"/>
        <v/>
      </c>
      <c r="BE40" s="84" t="str">
        <f t="shared" si="18"/>
        <v/>
      </c>
      <c r="BF40" s="88"/>
      <c r="BG40" s="97" t="str">
        <f t="shared" si="19"/>
        <v/>
      </c>
      <c r="BH40" s="88"/>
      <c r="BI40" s="85">
        <f t="shared" si="20"/>
        <v>0</v>
      </c>
      <c r="BJ40" s="85">
        <f t="shared" si="20"/>
        <v>0</v>
      </c>
      <c r="BK40" s="12"/>
      <c r="BL40" s="12"/>
      <c r="BM40" s="98">
        <f t="shared" si="35"/>
        <v>0</v>
      </c>
      <c r="BN40" s="99">
        <f t="shared" si="36"/>
        <v>0</v>
      </c>
      <c r="BO40" s="98">
        <f t="shared" si="37"/>
        <v>0</v>
      </c>
      <c r="BP40" s="99">
        <f t="shared" si="38"/>
        <v>0</v>
      </c>
      <c r="BQ40" s="12"/>
      <c r="BR40" s="12"/>
      <c r="BS40" s="12"/>
      <c r="BT40" s="12"/>
      <c r="BU40" s="98">
        <f t="shared" si="46"/>
        <v>0</v>
      </c>
      <c r="BV40" s="99">
        <f t="shared" si="45"/>
        <v>0</v>
      </c>
      <c r="BW40" s="98">
        <f t="shared" si="47"/>
        <v>0</v>
      </c>
      <c r="BX40" s="99">
        <f t="shared" si="23"/>
        <v>0</v>
      </c>
      <c r="BY40" s="105"/>
      <c r="BZ40" s="85">
        <f t="shared" si="39"/>
        <v>0</v>
      </c>
      <c r="CA40" s="85">
        <f t="shared" si="39"/>
        <v>0</v>
      </c>
      <c r="CB40" s="88"/>
      <c r="CC40" s="88"/>
      <c r="CD40" s="12"/>
      <c r="CE40" s="12"/>
      <c r="CF40" s="98">
        <f t="shared" si="40"/>
        <v>0</v>
      </c>
      <c r="CG40" s="99">
        <f t="shared" si="41"/>
        <v>0</v>
      </c>
      <c r="CH40" s="98">
        <f t="shared" si="42"/>
        <v>0</v>
      </c>
      <c r="CI40" s="99">
        <f t="shared" si="43"/>
        <v>0</v>
      </c>
      <c r="CJ40" s="101"/>
      <c r="CK40" s="101"/>
      <c r="CL40" s="101"/>
      <c r="CQ40" s="6"/>
      <c r="CS40" s="102"/>
      <c r="CT40" s="103"/>
      <c r="CU40" s="104"/>
      <c r="CV40" s="105"/>
      <c r="CW40" s="82"/>
      <c r="CX40" s="82"/>
      <c r="CY40" s="82"/>
      <c r="CZ40" s="82"/>
      <c r="DA40" s="82"/>
      <c r="DB40" s="82"/>
      <c r="DC40" s="8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06"/>
      <c r="DP40" s="80"/>
      <c r="DQ40" s="80"/>
      <c r="DR40" s="94"/>
      <c r="DS40" s="80"/>
      <c r="DT40" s="80"/>
      <c r="DU40" s="80"/>
    </row>
    <row r="41" spans="1:125" ht="14.25" customHeight="1" x14ac:dyDescent="0.25">
      <c r="A41" s="80">
        <f t="shared" si="44"/>
        <v>25</v>
      </c>
      <c r="B41" s="81"/>
      <c r="C41" s="82"/>
      <c r="D41" s="83" t="str">
        <f t="shared" si="24"/>
        <v/>
      </c>
      <c r="E41" s="84" t="str">
        <f t="shared" si="25"/>
        <v/>
      </c>
      <c r="F41" s="85">
        <f t="shared" si="26"/>
        <v>0</v>
      </c>
      <c r="G41" s="85">
        <f t="shared" si="9"/>
        <v>0</v>
      </c>
      <c r="H41" s="12"/>
      <c r="I41" s="12"/>
      <c r="J41" s="86">
        <f t="shared" si="10"/>
        <v>0</v>
      </c>
      <c r="K41" s="86">
        <f t="shared" si="10"/>
        <v>0</v>
      </c>
      <c r="L41" s="87"/>
      <c r="M41" s="87"/>
      <c r="N41" s="87"/>
      <c r="O41" s="87"/>
      <c r="P41" s="87"/>
      <c r="Q41" s="87"/>
      <c r="R41" s="87"/>
      <c r="S41" s="87"/>
      <c r="T41" s="86">
        <f t="shared" si="27"/>
        <v>0</v>
      </c>
      <c r="U41" s="86">
        <f t="shared" si="28"/>
        <v>0</v>
      </c>
      <c r="V41" s="88"/>
      <c r="W41" s="12"/>
      <c r="X41" s="89">
        <f t="shared" si="11"/>
        <v>0</v>
      </c>
      <c r="Y41" s="12"/>
      <c r="Z41" s="89">
        <f t="shared" si="12"/>
        <v>0</v>
      </c>
      <c r="AA41" s="90"/>
      <c r="AB41" s="91" t="str">
        <f t="shared" si="29"/>
        <v/>
      </c>
      <c r="AC41" s="83" t="str">
        <f t="shared" si="30"/>
        <v/>
      </c>
      <c r="AD41" s="83" t="str">
        <f t="shared" si="31"/>
        <v/>
      </c>
      <c r="AE41" s="83" t="str">
        <f t="shared" si="31"/>
        <v/>
      </c>
      <c r="AF41" s="80"/>
      <c r="AG41" s="94"/>
      <c r="AH41" s="94"/>
      <c r="AI41" s="94"/>
      <c r="AJ41" s="86">
        <f t="shared" si="32"/>
        <v>0</v>
      </c>
      <c r="AK41" s="86">
        <f t="shared" si="32"/>
        <v>0</v>
      </c>
      <c r="AL41" s="94"/>
      <c r="AM41" s="94"/>
      <c r="AN41" s="86">
        <f t="shared" si="33"/>
        <v>0</v>
      </c>
      <c r="AO41" s="86">
        <f t="shared" si="33"/>
        <v>0</v>
      </c>
      <c r="AP41" s="94"/>
      <c r="AQ41" s="94"/>
      <c r="AR41" s="86">
        <f t="shared" si="34"/>
        <v>0</v>
      </c>
      <c r="AS41" s="86">
        <f t="shared" si="34"/>
        <v>0</v>
      </c>
      <c r="AT41" s="94"/>
      <c r="AU41" s="94"/>
      <c r="AW41" s="89">
        <f t="shared" si="13"/>
        <v>0</v>
      </c>
      <c r="AX41" s="89">
        <f t="shared" si="14"/>
        <v>0</v>
      </c>
      <c r="AY41" s="89">
        <f t="shared" si="15"/>
        <v>0</v>
      </c>
      <c r="AZ41" s="89">
        <f t="shared" si="16"/>
        <v>0</v>
      </c>
      <c r="BB41" s="96">
        <f t="shared" si="17"/>
        <v>0</v>
      </c>
      <c r="BC41" s="96">
        <f t="shared" si="17"/>
        <v>0</v>
      </c>
      <c r="BD41" s="84" t="str">
        <f t="shared" si="18"/>
        <v/>
      </c>
      <c r="BE41" s="84" t="str">
        <f t="shared" si="18"/>
        <v/>
      </c>
      <c r="BF41" s="88"/>
      <c r="BG41" s="97" t="str">
        <f t="shared" si="19"/>
        <v/>
      </c>
      <c r="BH41" s="88"/>
      <c r="BI41" s="85">
        <f t="shared" si="20"/>
        <v>0</v>
      </c>
      <c r="BJ41" s="85">
        <f t="shared" si="20"/>
        <v>0</v>
      </c>
      <c r="BK41" s="12"/>
      <c r="BL41" s="12"/>
      <c r="BM41" s="98">
        <f t="shared" si="35"/>
        <v>0</v>
      </c>
      <c r="BN41" s="99">
        <f t="shared" si="36"/>
        <v>0</v>
      </c>
      <c r="BO41" s="98">
        <f t="shared" si="37"/>
        <v>0</v>
      </c>
      <c r="BP41" s="99">
        <f t="shared" si="38"/>
        <v>0</v>
      </c>
      <c r="BQ41" s="12"/>
      <c r="BR41" s="12"/>
      <c r="BS41" s="12"/>
      <c r="BT41" s="12"/>
      <c r="BU41" s="98">
        <f t="shared" si="46"/>
        <v>0</v>
      </c>
      <c r="BV41" s="99">
        <f t="shared" si="45"/>
        <v>0</v>
      </c>
      <c r="BW41" s="98">
        <f t="shared" si="47"/>
        <v>0</v>
      </c>
      <c r="BX41" s="99">
        <f t="shared" si="23"/>
        <v>0</v>
      </c>
      <c r="BY41" s="105"/>
      <c r="BZ41" s="85">
        <f t="shared" si="39"/>
        <v>0</v>
      </c>
      <c r="CA41" s="85">
        <f t="shared" si="39"/>
        <v>0</v>
      </c>
      <c r="CB41" s="88"/>
      <c r="CC41" s="88"/>
      <c r="CD41" s="12"/>
      <c r="CE41" s="12"/>
      <c r="CF41" s="98">
        <f t="shared" si="40"/>
        <v>0</v>
      </c>
      <c r="CG41" s="99">
        <f t="shared" si="41"/>
        <v>0</v>
      </c>
      <c r="CH41" s="98">
        <f t="shared" si="42"/>
        <v>0</v>
      </c>
      <c r="CI41" s="99">
        <f t="shared" si="43"/>
        <v>0</v>
      </c>
      <c r="CJ41" s="101"/>
      <c r="CK41" s="101"/>
      <c r="CL41" s="101"/>
      <c r="CQ41" s="6"/>
      <c r="CS41" s="102"/>
      <c r="CT41" s="103"/>
      <c r="CU41" s="104"/>
      <c r="CV41" s="105"/>
      <c r="CW41" s="82"/>
      <c r="CX41" s="82"/>
      <c r="CY41" s="82"/>
      <c r="CZ41" s="82"/>
      <c r="DA41" s="82"/>
      <c r="DB41" s="82"/>
      <c r="DC41" s="8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06"/>
      <c r="DP41" s="80"/>
      <c r="DQ41" s="80"/>
      <c r="DR41" s="94"/>
      <c r="DS41" s="80"/>
      <c r="DT41" s="80"/>
      <c r="DU41" s="80"/>
    </row>
    <row r="42" spans="1:125" ht="14.25" customHeight="1" x14ac:dyDescent="0.25">
      <c r="A42" s="80">
        <f t="shared" si="44"/>
        <v>26</v>
      </c>
      <c r="B42" s="81"/>
      <c r="C42" s="82"/>
      <c r="D42" s="83" t="str">
        <f t="shared" si="24"/>
        <v/>
      </c>
      <c r="E42" s="84" t="str">
        <f t="shared" si="25"/>
        <v/>
      </c>
      <c r="F42" s="85">
        <f t="shared" si="26"/>
        <v>0</v>
      </c>
      <c r="G42" s="85">
        <f t="shared" si="9"/>
        <v>0</v>
      </c>
      <c r="H42" s="12"/>
      <c r="I42" s="12"/>
      <c r="J42" s="86">
        <f t="shared" si="10"/>
        <v>0</v>
      </c>
      <c r="K42" s="86">
        <f t="shared" si="10"/>
        <v>0</v>
      </c>
      <c r="L42" s="87"/>
      <c r="M42" s="87"/>
      <c r="N42" s="87"/>
      <c r="O42" s="87"/>
      <c r="P42" s="87"/>
      <c r="Q42" s="87"/>
      <c r="R42" s="87"/>
      <c r="S42" s="87"/>
      <c r="T42" s="86">
        <f t="shared" si="27"/>
        <v>0</v>
      </c>
      <c r="U42" s="86">
        <f t="shared" si="28"/>
        <v>0</v>
      </c>
      <c r="V42" s="109"/>
      <c r="W42" s="12"/>
      <c r="X42" s="89">
        <f t="shared" si="11"/>
        <v>0</v>
      </c>
      <c r="Y42" s="12"/>
      <c r="Z42" s="89">
        <f t="shared" si="12"/>
        <v>0</v>
      </c>
      <c r="AA42" s="27"/>
      <c r="AB42" s="91" t="str">
        <f t="shared" si="29"/>
        <v/>
      </c>
      <c r="AC42" s="83" t="str">
        <f t="shared" si="30"/>
        <v/>
      </c>
      <c r="AD42" s="83" t="str">
        <f t="shared" si="31"/>
        <v/>
      </c>
      <c r="AE42" s="83" t="str">
        <f t="shared" si="31"/>
        <v/>
      </c>
      <c r="AF42" s="80"/>
      <c r="AG42" s="94"/>
      <c r="AH42" s="94"/>
      <c r="AI42" s="94"/>
      <c r="AJ42" s="86">
        <f t="shared" si="32"/>
        <v>0</v>
      </c>
      <c r="AK42" s="86">
        <f t="shared" si="32"/>
        <v>0</v>
      </c>
      <c r="AL42" s="94"/>
      <c r="AM42" s="94"/>
      <c r="AN42" s="86">
        <f t="shared" si="33"/>
        <v>0</v>
      </c>
      <c r="AO42" s="86">
        <f t="shared" si="33"/>
        <v>0</v>
      </c>
      <c r="AP42" s="94"/>
      <c r="AQ42" s="94"/>
      <c r="AR42" s="86">
        <f t="shared" si="34"/>
        <v>0</v>
      </c>
      <c r="AS42" s="86">
        <f t="shared" si="34"/>
        <v>0</v>
      </c>
      <c r="AT42" s="94"/>
      <c r="AU42" s="94"/>
      <c r="AW42" s="89">
        <f t="shared" si="13"/>
        <v>0</v>
      </c>
      <c r="AX42" s="89">
        <f t="shared" si="14"/>
        <v>0</v>
      </c>
      <c r="AY42" s="89">
        <f t="shared" si="15"/>
        <v>0</v>
      </c>
      <c r="AZ42" s="89">
        <f t="shared" si="16"/>
        <v>0</v>
      </c>
      <c r="BB42" s="96">
        <f t="shared" si="17"/>
        <v>0</v>
      </c>
      <c r="BC42" s="96">
        <f t="shared" si="17"/>
        <v>0</v>
      </c>
      <c r="BD42" s="84" t="str">
        <f t="shared" si="18"/>
        <v/>
      </c>
      <c r="BE42" s="84" t="str">
        <f t="shared" si="18"/>
        <v/>
      </c>
      <c r="BF42" s="109"/>
      <c r="BG42" s="97" t="str">
        <f t="shared" si="19"/>
        <v/>
      </c>
      <c r="BH42" s="88"/>
      <c r="BI42" s="85">
        <f t="shared" si="20"/>
        <v>0</v>
      </c>
      <c r="BJ42" s="85">
        <f t="shared" si="20"/>
        <v>0</v>
      </c>
      <c r="BK42" s="12"/>
      <c r="BL42" s="12"/>
      <c r="BM42" s="98">
        <f t="shared" si="35"/>
        <v>0</v>
      </c>
      <c r="BN42" s="99">
        <f t="shared" si="36"/>
        <v>0</v>
      </c>
      <c r="BO42" s="98">
        <f t="shared" si="37"/>
        <v>0</v>
      </c>
      <c r="BP42" s="99">
        <f t="shared" si="38"/>
        <v>0</v>
      </c>
      <c r="BQ42" s="12"/>
      <c r="BR42" s="12"/>
      <c r="BS42" s="12"/>
      <c r="BT42" s="12"/>
      <c r="BU42" s="98">
        <f t="shared" si="46"/>
        <v>0</v>
      </c>
      <c r="BV42" s="99">
        <f t="shared" si="45"/>
        <v>0</v>
      </c>
      <c r="BW42" s="98">
        <f t="shared" si="47"/>
        <v>0</v>
      </c>
      <c r="BX42" s="99">
        <f t="shared" si="23"/>
        <v>0</v>
      </c>
      <c r="BY42" s="105"/>
      <c r="BZ42" s="85">
        <f t="shared" si="39"/>
        <v>0</v>
      </c>
      <c r="CA42" s="85">
        <f t="shared" si="39"/>
        <v>0</v>
      </c>
      <c r="CB42" s="88"/>
      <c r="CC42" s="109"/>
      <c r="CD42" s="12"/>
      <c r="CE42" s="12"/>
      <c r="CF42" s="98">
        <f t="shared" si="40"/>
        <v>0</v>
      </c>
      <c r="CG42" s="99">
        <f t="shared" si="41"/>
        <v>0</v>
      </c>
      <c r="CH42" s="98">
        <f t="shared" si="42"/>
        <v>0</v>
      </c>
      <c r="CI42" s="99">
        <f t="shared" si="43"/>
        <v>0</v>
      </c>
      <c r="CJ42" s="101"/>
      <c r="CK42" s="101"/>
      <c r="CL42" s="101"/>
      <c r="CQ42" s="6"/>
      <c r="CS42" s="102"/>
      <c r="CT42" s="103"/>
      <c r="CU42" s="104"/>
      <c r="CV42" s="105"/>
      <c r="CW42" s="82"/>
      <c r="CX42" s="82"/>
      <c r="CY42" s="82"/>
      <c r="CZ42" s="82"/>
      <c r="DA42" s="82"/>
      <c r="DB42" s="82"/>
      <c r="DC42" s="8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06"/>
      <c r="DP42" s="80"/>
      <c r="DQ42" s="80"/>
      <c r="DR42" s="94"/>
      <c r="DS42" s="80"/>
      <c r="DT42" s="80"/>
      <c r="DU42" s="80"/>
    </row>
    <row r="43" spans="1:125" ht="14.25" customHeight="1" x14ac:dyDescent="0.25">
      <c r="A43" s="80">
        <f t="shared" si="44"/>
        <v>27</v>
      </c>
      <c r="B43" s="81"/>
      <c r="C43" s="82"/>
      <c r="D43" s="83" t="str">
        <f t="shared" si="24"/>
        <v/>
      </c>
      <c r="E43" s="84" t="str">
        <f t="shared" si="25"/>
        <v/>
      </c>
      <c r="F43" s="85">
        <f t="shared" si="26"/>
        <v>0</v>
      </c>
      <c r="G43" s="85">
        <f t="shared" si="9"/>
        <v>0</v>
      </c>
      <c r="H43" s="12"/>
      <c r="I43" s="12"/>
      <c r="J43" s="86">
        <f t="shared" si="10"/>
        <v>0</v>
      </c>
      <c r="K43" s="86">
        <f t="shared" si="10"/>
        <v>0</v>
      </c>
      <c r="L43" s="87"/>
      <c r="M43" s="87"/>
      <c r="N43" s="87"/>
      <c r="O43" s="87"/>
      <c r="P43" s="87"/>
      <c r="Q43" s="87"/>
      <c r="R43" s="87"/>
      <c r="S43" s="87"/>
      <c r="T43" s="86">
        <f t="shared" si="27"/>
        <v>0</v>
      </c>
      <c r="U43" s="86">
        <f t="shared" si="28"/>
        <v>0</v>
      </c>
      <c r="V43" s="105"/>
      <c r="W43" s="12"/>
      <c r="X43" s="89">
        <f t="shared" si="11"/>
        <v>0</v>
      </c>
      <c r="Y43" s="12"/>
      <c r="Z43" s="89">
        <f t="shared" si="12"/>
        <v>0</v>
      </c>
      <c r="AA43" s="90"/>
      <c r="AB43" s="91" t="str">
        <f t="shared" si="29"/>
        <v/>
      </c>
      <c r="AC43" s="83" t="str">
        <f t="shared" si="30"/>
        <v/>
      </c>
      <c r="AD43" s="83" t="str">
        <f t="shared" si="31"/>
        <v/>
      </c>
      <c r="AE43" s="83" t="str">
        <f t="shared" si="31"/>
        <v/>
      </c>
      <c r="AF43" s="80"/>
      <c r="AG43" s="94"/>
      <c r="AH43" s="94"/>
      <c r="AI43" s="94"/>
      <c r="AJ43" s="86">
        <f t="shared" si="32"/>
        <v>0</v>
      </c>
      <c r="AK43" s="86">
        <f t="shared" si="32"/>
        <v>0</v>
      </c>
      <c r="AL43" s="94"/>
      <c r="AM43" s="94"/>
      <c r="AN43" s="86">
        <f t="shared" si="33"/>
        <v>0</v>
      </c>
      <c r="AO43" s="86">
        <f t="shared" si="33"/>
        <v>0</v>
      </c>
      <c r="AP43" s="94"/>
      <c r="AQ43" s="94"/>
      <c r="AR43" s="86">
        <f t="shared" si="34"/>
        <v>0</v>
      </c>
      <c r="AS43" s="86">
        <f t="shared" si="34"/>
        <v>0</v>
      </c>
      <c r="AT43" s="94"/>
      <c r="AU43" s="94"/>
      <c r="AW43" s="89">
        <f t="shared" si="13"/>
        <v>0</v>
      </c>
      <c r="AX43" s="89">
        <f t="shared" si="14"/>
        <v>0</v>
      </c>
      <c r="AY43" s="89">
        <f t="shared" si="15"/>
        <v>0</v>
      </c>
      <c r="AZ43" s="89">
        <f t="shared" si="16"/>
        <v>0</v>
      </c>
      <c r="BB43" s="96">
        <f t="shared" si="17"/>
        <v>0</v>
      </c>
      <c r="BC43" s="96">
        <f t="shared" si="17"/>
        <v>0</v>
      </c>
      <c r="BD43" s="84" t="str">
        <f t="shared" si="18"/>
        <v/>
      </c>
      <c r="BE43" s="84" t="str">
        <f t="shared" si="18"/>
        <v/>
      </c>
      <c r="BF43" s="105"/>
      <c r="BG43" s="97" t="str">
        <f t="shared" si="19"/>
        <v/>
      </c>
      <c r="BH43" s="88"/>
      <c r="BI43" s="85">
        <f t="shared" si="20"/>
        <v>0</v>
      </c>
      <c r="BJ43" s="85">
        <f t="shared" si="20"/>
        <v>0</v>
      </c>
      <c r="BK43" s="12"/>
      <c r="BL43" s="12"/>
      <c r="BM43" s="98">
        <f t="shared" si="35"/>
        <v>0</v>
      </c>
      <c r="BN43" s="99">
        <f t="shared" si="36"/>
        <v>0</v>
      </c>
      <c r="BO43" s="98">
        <f t="shared" si="37"/>
        <v>0</v>
      </c>
      <c r="BP43" s="99">
        <f t="shared" si="38"/>
        <v>0</v>
      </c>
      <c r="BQ43" s="12"/>
      <c r="BR43" s="12"/>
      <c r="BS43" s="12"/>
      <c r="BT43" s="12"/>
      <c r="BU43" s="98">
        <f t="shared" si="46"/>
        <v>0</v>
      </c>
      <c r="BV43" s="99">
        <f t="shared" si="45"/>
        <v>0</v>
      </c>
      <c r="BW43" s="98">
        <f t="shared" si="47"/>
        <v>0</v>
      </c>
      <c r="BX43" s="99">
        <f t="shared" si="23"/>
        <v>0</v>
      </c>
      <c r="BY43" s="105"/>
      <c r="BZ43" s="85">
        <f t="shared" si="39"/>
        <v>0</v>
      </c>
      <c r="CA43" s="85">
        <f t="shared" si="39"/>
        <v>0</v>
      </c>
      <c r="CB43" s="88"/>
      <c r="CC43" s="105"/>
      <c r="CD43" s="12"/>
      <c r="CE43" s="12"/>
      <c r="CF43" s="98">
        <f t="shared" si="40"/>
        <v>0</v>
      </c>
      <c r="CG43" s="99">
        <f t="shared" si="41"/>
        <v>0</v>
      </c>
      <c r="CH43" s="98">
        <f t="shared" si="42"/>
        <v>0</v>
      </c>
      <c r="CI43" s="99">
        <f t="shared" si="43"/>
        <v>0</v>
      </c>
      <c r="CJ43" s="101"/>
      <c r="CK43" s="101"/>
      <c r="CL43" s="101"/>
      <c r="CQ43" s="6"/>
      <c r="CS43" s="102"/>
      <c r="CT43" s="103"/>
      <c r="CU43" s="104"/>
      <c r="CV43" s="105"/>
      <c r="CW43" s="82"/>
      <c r="CX43" s="82"/>
      <c r="CY43" s="82"/>
      <c r="CZ43" s="82"/>
      <c r="DA43" s="82"/>
      <c r="DB43" s="82"/>
      <c r="DC43" s="8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06"/>
      <c r="DP43" s="80"/>
      <c r="DQ43" s="80"/>
      <c r="DR43" s="94"/>
      <c r="DS43" s="80"/>
      <c r="DT43" s="80"/>
      <c r="DU43" s="80"/>
    </row>
    <row r="44" spans="1:125" ht="14.25" customHeight="1" x14ac:dyDescent="0.25">
      <c r="A44" s="80">
        <f t="shared" si="44"/>
        <v>28</v>
      </c>
      <c r="B44" s="81"/>
      <c r="C44" s="82"/>
      <c r="D44" s="83" t="str">
        <f t="shared" si="24"/>
        <v/>
      </c>
      <c r="E44" s="84" t="str">
        <f t="shared" si="25"/>
        <v/>
      </c>
      <c r="F44" s="85">
        <f t="shared" si="26"/>
        <v>0</v>
      </c>
      <c r="G44" s="85">
        <f t="shared" si="9"/>
        <v>0</v>
      </c>
      <c r="H44" s="12"/>
      <c r="I44" s="12"/>
      <c r="J44" s="86">
        <f t="shared" si="10"/>
        <v>0</v>
      </c>
      <c r="K44" s="86">
        <f t="shared" si="10"/>
        <v>0</v>
      </c>
      <c r="L44" s="87"/>
      <c r="M44" s="87"/>
      <c r="N44" s="87"/>
      <c r="O44" s="87"/>
      <c r="P44" s="87"/>
      <c r="Q44" s="87"/>
      <c r="R44" s="87"/>
      <c r="S44" s="87"/>
      <c r="T44" s="86">
        <f t="shared" si="27"/>
        <v>0</v>
      </c>
      <c r="U44" s="86">
        <f t="shared" si="28"/>
        <v>0</v>
      </c>
      <c r="V44" s="105"/>
      <c r="W44" s="12"/>
      <c r="X44" s="89">
        <f t="shared" si="11"/>
        <v>0</v>
      </c>
      <c r="Y44" s="12"/>
      <c r="Z44" s="89">
        <f t="shared" si="12"/>
        <v>0</v>
      </c>
      <c r="AA44" s="90"/>
      <c r="AB44" s="91" t="str">
        <f t="shared" si="29"/>
        <v/>
      </c>
      <c r="AC44" s="83" t="str">
        <f t="shared" si="30"/>
        <v/>
      </c>
      <c r="AD44" s="83" t="str">
        <f t="shared" si="31"/>
        <v/>
      </c>
      <c r="AE44" s="83" t="str">
        <f t="shared" si="31"/>
        <v/>
      </c>
      <c r="AF44" s="80"/>
      <c r="AG44" s="94"/>
      <c r="AH44" s="94"/>
      <c r="AI44" s="94"/>
      <c r="AJ44" s="86">
        <f t="shared" si="32"/>
        <v>0</v>
      </c>
      <c r="AK44" s="86">
        <f t="shared" si="32"/>
        <v>0</v>
      </c>
      <c r="AL44" s="94"/>
      <c r="AM44" s="94"/>
      <c r="AN44" s="86">
        <f t="shared" si="33"/>
        <v>0</v>
      </c>
      <c r="AO44" s="86">
        <f t="shared" si="33"/>
        <v>0</v>
      </c>
      <c r="AP44" s="94"/>
      <c r="AQ44" s="94"/>
      <c r="AR44" s="86">
        <f t="shared" si="34"/>
        <v>0</v>
      </c>
      <c r="AS44" s="86">
        <f t="shared" si="34"/>
        <v>0</v>
      </c>
      <c r="AT44" s="94"/>
      <c r="AU44" s="94"/>
      <c r="AW44" s="89">
        <f t="shared" si="13"/>
        <v>0</v>
      </c>
      <c r="AX44" s="89">
        <f t="shared" si="14"/>
        <v>0</v>
      </c>
      <c r="AY44" s="89">
        <f t="shared" si="15"/>
        <v>0</v>
      </c>
      <c r="AZ44" s="89">
        <f t="shared" si="16"/>
        <v>0</v>
      </c>
      <c r="BB44" s="96">
        <f t="shared" si="17"/>
        <v>0</v>
      </c>
      <c r="BC44" s="96">
        <f t="shared" si="17"/>
        <v>0</v>
      </c>
      <c r="BD44" s="84" t="str">
        <f t="shared" si="18"/>
        <v/>
      </c>
      <c r="BE44" s="84" t="str">
        <f t="shared" si="18"/>
        <v/>
      </c>
      <c r="BF44" s="105"/>
      <c r="BG44" s="97" t="str">
        <f t="shared" si="19"/>
        <v/>
      </c>
      <c r="BH44" s="88"/>
      <c r="BI44" s="85">
        <f t="shared" si="20"/>
        <v>0</v>
      </c>
      <c r="BJ44" s="85">
        <f t="shared" si="20"/>
        <v>0</v>
      </c>
      <c r="BK44" s="12"/>
      <c r="BL44" s="12"/>
      <c r="BM44" s="98">
        <f t="shared" si="35"/>
        <v>0</v>
      </c>
      <c r="BN44" s="99">
        <f t="shared" si="36"/>
        <v>0</v>
      </c>
      <c r="BO44" s="98">
        <f t="shared" si="37"/>
        <v>0</v>
      </c>
      <c r="BP44" s="99">
        <f t="shared" si="38"/>
        <v>0</v>
      </c>
      <c r="BQ44" s="12"/>
      <c r="BR44" s="12"/>
      <c r="BS44" s="12"/>
      <c r="BT44" s="12"/>
      <c r="BU44" s="98">
        <f t="shared" si="46"/>
        <v>0</v>
      </c>
      <c r="BV44" s="99">
        <f t="shared" si="45"/>
        <v>0</v>
      </c>
      <c r="BW44" s="98">
        <f t="shared" si="47"/>
        <v>0</v>
      </c>
      <c r="BX44" s="99">
        <f t="shared" si="23"/>
        <v>0</v>
      </c>
      <c r="BY44" s="105"/>
      <c r="BZ44" s="85">
        <f t="shared" si="39"/>
        <v>0</v>
      </c>
      <c r="CA44" s="85">
        <f t="shared" si="39"/>
        <v>0</v>
      </c>
      <c r="CB44" s="88"/>
      <c r="CC44" s="105"/>
      <c r="CD44" s="12"/>
      <c r="CE44" s="12"/>
      <c r="CF44" s="98">
        <f t="shared" si="40"/>
        <v>0</v>
      </c>
      <c r="CG44" s="99">
        <f t="shared" si="41"/>
        <v>0</v>
      </c>
      <c r="CH44" s="98">
        <f t="shared" si="42"/>
        <v>0</v>
      </c>
      <c r="CI44" s="99">
        <f t="shared" si="43"/>
        <v>0</v>
      </c>
      <c r="CJ44" s="101"/>
      <c r="CK44" s="101"/>
      <c r="CL44" s="101"/>
      <c r="CQ44" s="6"/>
      <c r="CS44" s="102"/>
      <c r="CT44" s="103"/>
      <c r="CU44" s="104"/>
      <c r="CV44" s="105"/>
      <c r="CW44" s="82"/>
      <c r="CX44" s="82"/>
      <c r="CY44" s="82"/>
      <c r="CZ44" s="82"/>
      <c r="DA44" s="82"/>
      <c r="DB44" s="82"/>
      <c r="DC44" s="8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06"/>
      <c r="DP44" s="80"/>
      <c r="DQ44" s="80"/>
      <c r="DR44" s="94"/>
      <c r="DS44" s="80"/>
      <c r="DT44" s="80"/>
      <c r="DU44" s="80"/>
    </row>
    <row r="45" spans="1:125" ht="14.25" customHeight="1" x14ac:dyDescent="0.25">
      <c r="A45" s="80">
        <f t="shared" si="44"/>
        <v>29</v>
      </c>
      <c r="B45" s="81"/>
      <c r="C45" s="82"/>
      <c r="D45" s="83" t="str">
        <f t="shared" si="24"/>
        <v/>
      </c>
      <c r="E45" s="84" t="str">
        <f t="shared" si="25"/>
        <v/>
      </c>
      <c r="F45" s="85">
        <f t="shared" si="26"/>
        <v>0</v>
      </c>
      <c r="G45" s="85">
        <f t="shared" si="9"/>
        <v>0</v>
      </c>
      <c r="H45" s="12"/>
      <c r="I45" s="12"/>
      <c r="J45" s="86">
        <f t="shared" si="10"/>
        <v>0</v>
      </c>
      <c r="K45" s="86">
        <f t="shared" si="10"/>
        <v>0</v>
      </c>
      <c r="L45" s="87"/>
      <c r="M45" s="87"/>
      <c r="N45" s="87"/>
      <c r="O45" s="87"/>
      <c r="P45" s="87"/>
      <c r="Q45" s="87"/>
      <c r="R45" s="87"/>
      <c r="S45" s="87"/>
      <c r="T45" s="86">
        <f t="shared" si="27"/>
        <v>0</v>
      </c>
      <c r="U45" s="86">
        <f t="shared" si="28"/>
        <v>0</v>
      </c>
      <c r="V45" s="109"/>
      <c r="W45" s="12"/>
      <c r="X45" s="89">
        <f t="shared" si="11"/>
        <v>0</v>
      </c>
      <c r="Y45" s="12"/>
      <c r="Z45" s="89">
        <f t="shared" si="12"/>
        <v>0</v>
      </c>
      <c r="AA45" s="90"/>
      <c r="AB45" s="91" t="str">
        <f t="shared" si="29"/>
        <v/>
      </c>
      <c r="AC45" s="83" t="str">
        <f t="shared" si="30"/>
        <v/>
      </c>
      <c r="AD45" s="83" t="str">
        <f t="shared" si="31"/>
        <v/>
      </c>
      <c r="AE45" s="83" t="str">
        <f t="shared" si="31"/>
        <v/>
      </c>
      <c r="AF45" s="80"/>
      <c r="AG45" s="94"/>
      <c r="AH45" s="94"/>
      <c r="AI45" s="94"/>
      <c r="AJ45" s="86">
        <f t="shared" si="32"/>
        <v>0</v>
      </c>
      <c r="AK45" s="86">
        <f t="shared" si="32"/>
        <v>0</v>
      </c>
      <c r="AL45" s="94"/>
      <c r="AM45" s="94"/>
      <c r="AN45" s="86">
        <f t="shared" si="33"/>
        <v>0</v>
      </c>
      <c r="AO45" s="86">
        <f t="shared" si="33"/>
        <v>0</v>
      </c>
      <c r="AP45" s="94"/>
      <c r="AQ45" s="94"/>
      <c r="AR45" s="86">
        <f t="shared" si="34"/>
        <v>0</v>
      </c>
      <c r="AS45" s="86">
        <f t="shared" si="34"/>
        <v>0</v>
      </c>
      <c r="AT45" s="94"/>
      <c r="AU45" s="94"/>
      <c r="AW45" s="89">
        <f t="shared" si="13"/>
        <v>0</v>
      </c>
      <c r="AX45" s="89">
        <f t="shared" si="14"/>
        <v>0</v>
      </c>
      <c r="AY45" s="89">
        <f t="shared" si="15"/>
        <v>0</v>
      </c>
      <c r="AZ45" s="89">
        <f t="shared" si="16"/>
        <v>0</v>
      </c>
      <c r="BB45" s="96">
        <f t="shared" si="17"/>
        <v>0</v>
      </c>
      <c r="BC45" s="96">
        <f t="shared" si="17"/>
        <v>0</v>
      </c>
      <c r="BD45" s="84" t="str">
        <f t="shared" si="18"/>
        <v/>
      </c>
      <c r="BE45" s="84" t="str">
        <f t="shared" si="18"/>
        <v/>
      </c>
      <c r="BF45" s="109"/>
      <c r="BG45" s="97" t="str">
        <f t="shared" si="19"/>
        <v/>
      </c>
      <c r="BH45" s="88"/>
      <c r="BI45" s="85">
        <f t="shared" si="20"/>
        <v>0</v>
      </c>
      <c r="BJ45" s="85">
        <f t="shared" si="20"/>
        <v>0</v>
      </c>
      <c r="BK45" s="12"/>
      <c r="BL45" s="12"/>
      <c r="BM45" s="98">
        <f t="shared" si="35"/>
        <v>0</v>
      </c>
      <c r="BN45" s="99">
        <f t="shared" si="36"/>
        <v>0</v>
      </c>
      <c r="BO45" s="98">
        <f t="shared" si="37"/>
        <v>0</v>
      </c>
      <c r="BP45" s="99">
        <f t="shared" si="38"/>
        <v>0</v>
      </c>
      <c r="BQ45" s="12"/>
      <c r="BR45" s="12"/>
      <c r="BS45" s="12"/>
      <c r="BT45" s="12"/>
      <c r="BU45" s="98">
        <f t="shared" si="46"/>
        <v>0</v>
      </c>
      <c r="BV45" s="99">
        <f t="shared" si="45"/>
        <v>0</v>
      </c>
      <c r="BW45" s="98">
        <f t="shared" si="47"/>
        <v>0</v>
      </c>
      <c r="BX45" s="99">
        <f t="shared" si="23"/>
        <v>0</v>
      </c>
      <c r="BY45" s="105"/>
      <c r="BZ45" s="85">
        <f t="shared" si="39"/>
        <v>0</v>
      </c>
      <c r="CA45" s="85">
        <f t="shared" si="39"/>
        <v>0</v>
      </c>
      <c r="CB45" s="88"/>
      <c r="CC45" s="109"/>
      <c r="CD45" s="12"/>
      <c r="CE45" s="12"/>
      <c r="CF45" s="98">
        <f t="shared" si="40"/>
        <v>0</v>
      </c>
      <c r="CG45" s="99">
        <f t="shared" si="41"/>
        <v>0</v>
      </c>
      <c r="CH45" s="98">
        <f t="shared" si="42"/>
        <v>0</v>
      </c>
      <c r="CI45" s="99">
        <f t="shared" si="43"/>
        <v>0</v>
      </c>
      <c r="CJ45" s="101"/>
      <c r="CK45" s="101"/>
      <c r="CL45" s="101"/>
      <c r="CQ45" s="6"/>
      <c r="CS45" s="102"/>
      <c r="CT45" s="103"/>
      <c r="CU45" s="104"/>
      <c r="CV45" s="105"/>
      <c r="CW45" s="82"/>
      <c r="CX45" s="82"/>
      <c r="CY45" s="82"/>
      <c r="CZ45" s="82"/>
      <c r="DA45" s="82"/>
      <c r="DB45" s="82"/>
      <c r="DC45" s="8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06"/>
      <c r="DP45" s="80"/>
      <c r="DQ45" s="80"/>
      <c r="DR45" s="94"/>
      <c r="DS45" s="80"/>
      <c r="DT45" s="80"/>
      <c r="DU45" s="80"/>
    </row>
    <row r="46" spans="1:125" ht="14.25" customHeight="1" x14ac:dyDescent="0.25">
      <c r="A46" s="80">
        <f t="shared" si="44"/>
        <v>30</v>
      </c>
      <c r="B46" s="81"/>
      <c r="C46" s="82"/>
      <c r="D46" s="83" t="str">
        <f t="shared" si="24"/>
        <v/>
      </c>
      <c r="E46" s="84" t="str">
        <f t="shared" si="25"/>
        <v/>
      </c>
      <c r="F46" s="85">
        <f t="shared" si="26"/>
        <v>0</v>
      </c>
      <c r="G46" s="85">
        <f t="shared" si="9"/>
        <v>0</v>
      </c>
      <c r="H46" s="12"/>
      <c r="I46" s="12"/>
      <c r="J46" s="86">
        <f t="shared" si="10"/>
        <v>0</v>
      </c>
      <c r="K46" s="86">
        <f t="shared" si="10"/>
        <v>0</v>
      </c>
      <c r="L46" s="87"/>
      <c r="M46" s="87"/>
      <c r="N46" s="87"/>
      <c r="O46" s="87"/>
      <c r="P46" s="87"/>
      <c r="Q46" s="87"/>
      <c r="R46" s="87"/>
      <c r="S46" s="87"/>
      <c r="T46" s="86">
        <f t="shared" si="27"/>
        <v>0</v>
      </c>
      <c r="U46" s="86">
        <f t="shared" si="28"/>
        <v>0</v>
      </c>
      <c r="V46" s="105"/>
      <c r="W46" s="12"/>
      <c r="X46" s="89">
        <f t="shared" si="11"/>
        <v>0</v>
      </c>
      <c r="Y46" s="12"/>
      <c r="Z46" s="89">
        <f t="shared" si="12"/>
        <v>0</v>
      </c>
      <c r="AA46" s="90"/>
      <c r="AB46" s="91" t="str">
        <f t="shared" si="29"/>
        <v/>
      </c>
      <c r="AC46" s="83" t="str">
        <f t="shared" si="30"/>
        <v/>
      </c>
      <c r="AD46" s="83" t="str">
        <f t="shared" si="31"/>
        <v/>
      </c>
      <c r="AE46" s="83" t="str">
        <f t="shared" si="31"/>
        <v/>
      </c>
      <c r="AF46" s="80"/>
      <c r="AG46" s="27"/>
      <c r="AH46" s="27"/>
      <c r="AI46" s="27"/>
      <c r="AJ46" s="86">
        <f t="shared" si="32"/>
        <v>0</v>
      </c>
      <c r="AK46" s="86">
        <f t="shared" si="32"/>
        <v>0</v>
      </c>
      <c r="AL46" s="27"/>
      <c r="AM46" s="27"/>
      <c r="AN46" s="86">
        <f t="shared" si="33"/>
        <v>0</v>
      </c>
      <c r="AO46" s="86">
        <f t="shared" si="33"/>
        <v>0</v>
      </c>
      <c r="AP46" s="27"/>
      <c r="AQ46" s="27"/>
      <c r="AR46" s="86">
        <f t="shared" si="34"/>
        <v>0</v>
      </c>
      <c r="AS46" s="86">
        <f t="shared" si="34"/>
        <v>0</v>
      </c>
      <c r="AT46" s="27"/>
      <c r="AU46" s="94"/>
      <c r="AW46" s="89">
        <f t="shared" si="13"/>
        <v>0</v>
      </c>
      <c r="AX46" s="89">
        <f t="shared" si="14"/>
        <v>0</v>
      </c>
      <c r="AY46" s="89">
        <f t="shared" si="15"/>
        <v>0</v>
      </c>
      <c r="AZ46" s="89">
        <f t="shared" si="16"/>
        <v>0</v>
      </c>
      <c r="BB46" s="96">
        <f t="shared" si="17"/>
        <v>0</v>
      </c>
      <c r="BC46" s="96">
        <f t="shared" si="17"/>
        <v>0</v>
      </c>
      <c r="BD46" s="84" t="str">
        <f t="shared" si="18"/>
        <v/>
      </c>
      <c r="BE46" s="84" t="str">
        <f t="shared" si="18"/>
        <v/>
      </c>
      <c r="BF46" s="105"/>
      <c r="BG46" s="97" t="str">
        <f t="shared" si="19"/>
        <v/>
      </c>
      <c r="BH46" s="80"/>
      <c r="BI46" s="85">
        <f t="shared" si="20"/>
        <v>0</v>
      </c>
      <c r="BJ46" s="85">
        <f t="shared" si="20"/>
        <v>0</v>
      </c>
      <c r="BK46" s="12"/>
      <c r="BL46" s="12"/>
      <c r="BM46" s="98">
        <f t="shared" si="35"/>
        <v>0</v>
      </c>
      <c r="BN46" s="99">
        <f t="shared" si="36"/>
        <v>0</v>
      </c>
      <c r="BO46" s="98">
        <f t="shared" si="37"/>
        <v>0</v>
      </c>
      <c r="BP46" s="99">
        <f t="shared" si="38"/>
        <v>0</v>
      </c>
      <c r="BQ46" s="12"/>
      <c r="BR46" s="12"/>
      <c r="BS46" s="12"/>
      <c r="BT46" s="12"/>
      <c r="BU46" s="98">
        <f t="shared" si="46"/>
        <v>0</v>
      </c>
      <c r="BV46" s="99">
        <f t="shared" si="45"/>
        <v>0</v>
      </c>
      <c r="BW46" s="98">
        <f t="shared" si="47"/>
        <v>0</v>
      </c>
      <c r="BX46" s="99">
        <f t="shared" si="23"/>
        <v>0</v>
      </c>
      <c r="BY46" s="105"/>
      <c r="BZ46" s="85">
        <f t="shared" si="39"/>
        <v>0</v>
      </c>
      <c r="CA46" s="85">
        <f t="shared" si="39"/>
        <v>0</v>
      </c>
      <c r="CB46" s="80"/>
      <c r="CC46" s="105"/>
      <c r="CD46" s="12"/>
      <c r="CE46" s="12"/>
      <c r="CF46" s="98">
        <f t="shared" si="40"/>
        <v>0</v>
      </c>
      <c r="CG46" s="99">
        <f t="shared" si="41"/>
        <v>0</v>
      </c>
      <c r="CH46" s="98">
        <f t="shared" si="42"/>
        <v>0</v>
      </c>
      <c r="CI46" s="99">
        <f t="shared" si="43"/>
        <v>0</v>
      </c>
      <c r="CJ46" s="101"/>
      <c r="CK46" s="101"/>
      <c r="CL46" s="101"/>
      <c r="CQ46" s="6"/>
      <c r="CS46" s="102"/>
      <c r="CT46" s="103"/>
      <c r="CU46" s="82"/>
      <c r="CV46" s="105"/>
      <c r="CW46" s="82"/>
      <c r="CX46" s="82"/>
      <c r="CY46" s="82"/>
      <c r="CZ46" s="82"/>
      <c r="DA46" s="82"/>
      <c r="DB46" s="82"/>
      <c r="DC46" s="8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06"/>
      <c r="DP46" s="80"/>
      <c r="DQ46" s="80"/>
      <c r="DR46" s="110"/>
      <c r="DS46" s="80"/>
      <c r="DT46" s="80"/>
      <c r="DU46" s="80"/>
    </row>
    <row r="47" spans="1:125" ht="14.25" customHeight="1" x14ac:dyDescent="0.25">
      <c r="A47" s="80">
        <f t="shared" si="44"/>
        <v>31</v>
      </c>
      <c r="B47" s="81"/>
      <c r="C47" s="82"/>
      <c r="D47" s="83" t="str">
        <f t="shared" si="24"/>
        <v/>
      </c>
      <c r="E47" s="84" t="str">
        <f t="shared" si="25"/>
        <v/>
      </c>
      <c r="F47" s="85">
        <f t="shared" si="26"/>
        <v>0</v>
      </c>
      <c r="G47" s="85">
        <f t="shared" si="9"/>
        <v>0</v>
      </c>
      <c r="H47" s="12"/>
      <c r="I47" s="12"/>
      <c r="J47" s="86">
        <f t="shared" si="10"/>
        <v>0</v>
      </c>
      <c r="K47" s="86">
        <f t="shared" si="10"/>
        <v>0</v>
      </c>
      <c r="L47" s="87"/>
      <c r="M47" s="87"/>
      <c r="N47" s="87"/>
      <c r="O47" s="87"/>
      <c r="P47" s="87"/>
      <c r="Q47" s="87"/>
      <c r="R47" s="87"/>
      <c r="S47" s="87"/>
      <c r="T47" s="86">
        <f t="shared" si="27"/>
        <v>0</v>
      </c>
      <c r="U47" s="86">
        <f t="shared" si="28"/>
        <v>0</v>
      </c>
      <c r="V47" s="105"/>
      <c r="W47" s="12"/>
      <c r="X47" s="89">
        <f t="shared" si="11"/>
        <v>0</v>
      </c>
      <c r="Y47" s="12"/>
      <c r="Z47" s="89">
        <f t="shared" si="12"/>
        <v>0</v>
      </c>
      <c r="AA47" s="90"/>
      <c r="AB47" s="91" t="str">
        <f t="shared" si="29"/>
        <v/>
      </c>
      <c r="AC47" s="83" t="str">
        <f t="shared" si="30"/>
        <v/>
      </c>
      <c r="AD47" s="83" t="str">
        <f t="shared" si="31"/>
        <v/>
      </c>
      <c r="AE47" s="83" t="str">
        <f t="shared" si="31"/>
        <v/>
      </c>
      <c r="AF47" s="80"/>
      <c r="AG47" s="27"/>
      <c r="AH47" s="27"/>
      <c r="AI47" s="27"/>
      <c r="AJ47" s="86">
        <f t="shared" si="32"/>
        <v>0</v>
      </c>
      <c r="AK47" s="86">
        <f t="shared" si="32"/>
        <v>0</v>
      </c>
      <c r="AL47" s="27"/>
      <c r="AM47" s="27"/>
      <c r="AN47" s="86">
        <f t="shared" si="33"/>
        <v>0</v>
      </c>
      <c r="AO47" s="86">
        <f t="shared" si="33"/>
        <v>0</v>
      </c>
      <c r="AP47" s="27"/>
      <c r="AQ47" s="27"/>
      <c r="AR47" s="86">
        <f t="shared" si="34"/>
        <v>0</v>
      </c>
      <c r="AS47" s="86">
        <f t="shared" si="34"/>
        <v>0</v>
      </c>
      <c r="AT47" s="27"/>
      <c r="AU47" s="94"/>
      <c r="AW47" s="89">
        <f t="shared" si="13"/>
        <v>0</v>
      </c>
      <c r="AX47" s="89">
        <f t="shared" si="14"/>
        <v>0</v>
      </c>
      <c r="AY47" s="89">
        <f t="shared" si="15"/>
        <v>0</v>
      </c>
      <c r="AZ47" s="89">
        <f t="shared" si="16"/>
        <v>0</v>
      </c>
      <c r="BB47" s="96">
        <f t="shared" si="17"/>
        <v>0</v>
      </c>
      <c r="BC47" s="96">
        <f t="shared" si="17"/>
        <v>0</v>
      </c>
      <c r="BD47" s="84" t="str">
        <f t="shared" si="18"/>
        <v/>
      </c>
      <c r="BE47" s="84" t="str">
        <f t="shared" si="18"/>
        <v/>
      </c>
      <c r="BF47" s="105"/>
      <c r="BG47" s="97" t="str">
        <f t="shared" si="19"/>
        <v/>
      </c>
      <c r="BH47" s="80"/>
      <c r="BI47" s="85">
        <f t="shared" si="20"/>
        <v>0</v>
      </c>
      <c r="BJ47" s="85">
        <f t="shared" si="20"/>
        <v>0</v>
      </c>
      <c r="BK47" s="12"/>
      <c r="BL47" s="12"/>
      <c r="BM47" s="98">
        <f t="shared" si="35"/>
        <v>0</v>
      </c>
      <c r="BN47" s="99">
        <f t="shared" si="36"/>
        <v>0</v>
      </c>
      <c r="BO47" s="98">
        <f t="shared" si="37"/>
        <v>0</v>
      </c>
      <c r="BP47" s="99">
        <f t="shared" si="38"/>
        <v>0</v>
      </c>
      <c r="BQ47" s="12"/>
      <c r="BR47" s="12"/>
      <c r="BS47" s="12"/>
      <c r="BT47" s="12"/>
      <c r="BU47" s="98">
        <f t="shared" si="46"/>
        <v>0</v>
      </c>
      <c r="BV47" s="99">
        <f t="shared" si="45"/>
        <v>0</v>
      </c>
      <c r="BW47" s="98">
        <f t="shared" si="47"/>
        <v>0</v>
      </c>
      <c r="BX47" s="99">
        <f t="shared" si="23"/>
        <v>0</v>
      </c>
      <c r="BY47" s="105"/>
      <c r="BZ47" s="85">
        <f t="shared" si="39"/>
        <v>0</v>
      </c>
      <c r="CA47" s="85">
        <f t="shared" si="39"/>
        <v>0</v>
      </c>
      <c r="CB47" s="80"/>
      <c r="CC47" s="105"/>
      <c r="CD47" s="12"/>
      <c r="CE47" s="12"/>
      <c r="CF47" s="98">
        <f t="shared" si="40"/>
        <v>0</v>
      </c>
      <c r="CG47" s="99">
        <f t="shared" si="41"/>
        <v>0</v>
      </c>
      <c r="CH47" s="98">
        <f t="shared" si="42"/>
        <v>0</v>
      </c>
      <c r="CI47" s="99">
        <f t="shared" si="43"/>
        <v>0</v>
      </c>
      <c r="CJ47" s="101"/>
      <c r="CK47" s="101"/>
      <c r="CL47" s="101"/>
      <c r="CQ47" s="6"/>
      <c r="CS47" s="102"/>
      <c r="CT47" s="103"/>
      <c r="CU47" s="82"/>
      <c r="CV47" s="105"/>
      <c r="CW47" s="82"/>
      <c r="CX47" s="82"/>
      <c r="CY47" s="82"/>
      <c r="CZ47" s="82"/>
      <c r="DA47" s="82"/>
      <c r="DB47" s="82"/>
      <c r="DC47" s="8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06"/>
      <c r="DP47" s="80"/>
      <c r="DQ47" s="80"/>
      <c r="DR47" s="110"/>
      <c r="DS47" s="80"/>
      <c r="DT47" s="80"/>
      <c r="DU47" s="80"/>
    </row>
    <row r="48" spans="1:125" ht="14.25" customHeight="1" x14ac:dyDescent="0.25">
      <c r="A48" s="80">
        <f t="shared" si="44"/>
        <v>32</v>
      </c>
      <c r="B48" s="81"/>
      <c r="C48" s="82"/>
      <c r="D48" s="83" t="str">
        <f t="shared" si="24"/>
        <v/>
      </c>
      <c r="E48" s="84" t="str">
        <f t="shared" si="25"/>
        <v/>
      </c>
      <c r="F48" s="85">
        <f t="shared" si="26"/>
        <v>0</v>
      </c>
      <c r="G48" s="85">
        <f t="shared" si="9"/>
        <v>0</v>
      </c>
      <c r="H48" s="12"/>
      <c r="I48" s="12"/>
      <c r="J48" s="86">
        <f t="shared" si="10"/>
        <v>0</v>
      </c>
      <c r="K48" s="86">
        <f t="shared" si="10"/>
        <v>0</v>
      </c>
      <c r="L48" s="87"/>
      <c r="M48" s="87"/>
      <c r="N48" s="87"/>
      <c r="O48" s="87"/>
      <c r="P48" s="87"/>
      <c r="Q48" s="87"/>
      <c r="R48" s="87"/>
      <c r="S48" s="87"/>
      <c r="T48" s="86">
        <f t="shared" si="27"/>
        <v>0</v>
      </c>
      <c r="U48" s="86">
        <f t="shared" si="28"/>
        <v>0</v>
      </c>
      <c r="V48" s="105"/>
      <c r="W48" s="12"/>
      <c r="X48" s="89">
        <f t="shared" si="11"/>
        <v>0</v>
      </c>
      <c r="Y48" s="12"/>
      <c r="Z48" s="89">
        <f t="shared" si="12"/>
        <v>0</v>
      </c>
      <c r="AA48" s="90"/>
      <c r="AB48" s="91" t="str">
        <f t="shared" si="29"/>
        <v/>
      </c>
      <c r="AC48" s="83" t="str">
        <f t="shared" si="30"/>
        <v/>
      </c>
      <c r="AD48" s="83" t="str">
        <f t="shared" si="31"/>
        <v/>
      </c>
      <c r="AE48" s="83" t="str">
        <f t="shared" si="31"/>
        <v/>
      </c>
      <c r="AF48" s="80"/>
      <c r="AG48" s="27"/>
      <c r="AH48" s="27"/>
      <c r="AI48" s="27"/>
      <c r="AJ48" s="86">
        <f t="shared" si="32"/>
        <v>0</v>
      </c>
      <c r="AK48" s="86">
        <f t="shared" si="32"/>
        <v>0</v>
      </c>
      <c r="AL48" s="27"/>
      <c r="AM48" s="27"/>
      <c r="AN48" s="86">
        <f t="shared" si="33"/>
        <v>0</v>
      </c>
      <c r="AO48" s="86">
        <f t="shared" si="33"/>
        <v>0</v>
      </c>
      <c r="AP48" s="27"/>
      <c r="AQ48" s="27"/>
      <c r="AR48" s="86">
        <f t="shared" si="34"/>
        <v>0</v>
      </c>
      <c r="AS48" s="86">
        <f t="shared" si="34"/>
        <v>0</v>
      </c>
      <c r="AT48" s="27"/>
      <c r="AU48" s="94"/>
      <c r="AW48" s="89">
        <f t="shared" si="13"/>
        <v>0</v>
      </c>
      <c r="AX48" s="89">
        <f t="shared" si="14"/>
        <v>0</v>
      </c>
      <c r="AY48" s="89">
        <f t="shared" si="15"/>
        <v>0</v>
      </c>
      <c r="AZ48" s="89">
        <f t="shared" si="16"/>
        <v>0</v>
      </c>
      <c r="BB48" s="96">
        <f t="shared" si="17"/>
        <v>0</v>
      </c>
      <c r="BC48" s="96">
        <f t="shared" si="17"/>
        <v>0</v>
      </c>
      <c r="BD48" s="84" t="str">
        <f t="shared" si="18"/>
        <v/>
      </c>
      <c r="BE48" s="84" t="str">
        <f t="shared" si="18"/>
        <v/>
      </c>
      <c r="BF48" s="105"/>
      <c r="BG48" s="97" t="str">
        <f t="shared" si="19"/>
        <v/>
      </c>
      <c r="BH48" s="80"/>
      <c r="BI48" s="85">
        <f t="shared" si="20"/>
        <v>0</v>
      </c>
      <c r="BJ48" s="85">
        <f t="shared" si="20"/>
        <v>0</v>
      </c>
      <c r="BK48" s="12"/>
      <c r="BL48" s="12"/>
      <c r="BM48" s="98">
        <f t="shared" si="35"/>
        <v>0</v>
      </c>
      <c r="BN48" s="99">
        <f t="shared" si="36"/>
        <v>0</v>
      </c>
      <c r="BO48" s="98">
        <f t="shared" si="37"/>
        <v>0</v>
      </c>
      <c r="BP48" s="99">
        <f t="shared" si="38"/>
        <v>0</v>
      </c>
      <c r="BQ48" s="12"/>
      <c r="BR48" s="12"/>
      <c r="BS48" s="12"/>
      <c r="BT48" s="12"/>
      <c r="BU48" s="98">
        <f t="shared" si="46"/>
        <v>0</v>
      </c>
      <c r="BV48" s="99">
        <f t="shared" si="45"/>
        <v>0</v>
      </c>
      <c r="BW48" s="98">
        <f t="shared" si="47"/>
        <v>0</v>
      </c>
      <c r="BX48" s="99">
        <f t="shared" si="23"/>
        <v>0</v>
      </c>
      <c r="BY48" s="105"/>
      <c r="BZ48" s="85">
        <f t="shared" si="39"/>
        <v>0</v>
      </c>
      <c r="CA48" s="85">
        <f t="shared" si="39"/>
        <v>0</v>
      </c>
      <c r="CB48" s="80"/>
      <c r="CC48" s="105"/>
      <c r="CD48" s="12"/>
      <c r="CE48" s="12"/>
      <c r="CF48" s="98">
        <f t="shared" si="40"/>
        <v>0</v>
      </c>
      <c r="CG48" s="99">
        <f t="shared" si="41"/>
        <v>0</v>
      </c>
      <c r="CH48" s="98">
        <f t="shared" si="42"/>
        <v>0</v>
      </c>
      <c r="CI48" s="99">
        <f t="shared" si="43"/>
        <v>0</v>
      </c>
      <c r="CJ48" s="101"/>
      <c r="CK48" s="101"/>
      <c r="CL48" s="101"/>
      <c r="CQ48" s="6"/>
      <c r="CS48" s="102"/>
      <c r="CT48" s="103"/>
      <c r="CU48" s="82"/>
      <c r="CV48" s="105"/>
      <c r="CW48" s="82"/>
      <c r="CX48" s="82"/>
      <c r="CY48" s="82"/>
      <c r="CZ48" s="82"/>
      <c r="DA48" s="82"/>
      <c r="DB48" s="82"/>
      <c r="DC48" s="8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06"/>
      <c r="DP48" s="80"/>
      <c r="DQ48" s="80"/>
      <c r="DR48" s="110"/>
      <c r="DS48" s="80"/>
      <c r="DT48" s="80"/>
      <c r="DU48" s="80"/>
    </row>
    <row r="49" spans="1:125" ht="14.25" customHeight="1" x14ac:dyDescent="0.25">
      <c r="A49" s="80">
        <f t="shared" si="44"/>
        <v>33</v>
      </c>
      <c r="B49" s="81"/>
      <c r="C49" s="82"/>
      <c r="D49" s="83" t="str">
        <f t="shared" si="24"/>
        <v/>
      </c>
      <c r="E49" s="84" t="str">
        <f t="shared" si="25"/>
        <v/>
      </c>
      <c r="F49" s="85">
        <f t="shared" si="26"/>
        <v>0</v>
      </c>
      <c r="G49" s="85">
        <f t="shared" si="9"/>
        <v>0</v>
      </c>
      <c r="H49" s="12"/>
      <c r="I49" s="12"/>
      <c r="J49" s="86">
        <f t="shared" si="10"/>
        <v>0</v>
      </c>
      <c r="K49" s="86">
        <f t="shared" si="10"/>
        <v>0</v>
      </c>
      <c r="L49" s="87"/>
      <c r="M49" s="87"/>
      <c r="N49" s="87"/>
      <c r="O49" s="87"/>
      <c r="P49" s="87"/>
      <c r="Q49" s="87"/>
      <c r="R49" s="87"/>
      <c r="S49" s="87"/>
      <c r="T49" s="86">
        <f t="shared" si="27"/>
        <v>0</v>
      </c>
      <c r="U49" s="86">
        <f t="shared" si="28"/>
        <v>0</v>
      </c>
      <c r="V49" s="105"/>
      <c r="W49" s="12"/>
      <c r="X49" s="89">
        <f t="shared" si="11"/>
        <v>0</v>
      </c>
      <c r="Y49" s="12"/>
      <c r="Z49" s="89">
        <f t="shared" si="12"/>
        <v>0</v>
      </c>
      <c r="AA49" s="90"/>
      <c r="AB49" s="91" t="str">
        <f t="shared" si="29"/>
        <v/>
      </c>
      <c r="AC49" s="83" t="str">
        <f t="shared" si="30"/>
        <v/>
      </c>
      <c r="AD49" s="83" t="str">
        <f t="shared" si="31"/>
        <v/>
      </c>
      <c r="AE49" s="83" t="str">
        <f t="shared" si="31"/>
        <v/>
      </c>
      <c r="AF49" s="80"/>
      <c r="AG49" s="27"/>
      <c r="AH49" s="27"/>
      <c r="AI49" s="27"/>
      <c r="AJ49" s="86">
        <f t="shared" si="32"/>
        <v>0</v>
      </c>
      <c r="AK49" s="86">
        <f t="shared" si="32"/>
        <v>0</v>
      </c>
      <c r="AL49" s="27"/>
      <c r="AM49" s="27"/>
      <c r="AN49" s="86">
        <f t="shared" si="33"/>
        <v>0</v>
      </c>
      <c r="AO49" s="86">
        <f t="shared" si="33"/>
        <v>0</v>
      </c>
      <c r="AP49" s="27"/>
      <c r="AQ49" s="27"/>
      <c r="AR49" s="86">
        <f t="shared" si="34"/>
        <v>0</v>
      </c>
      <c r="AS49" s="86">
        <f t="shared" si="34"/>
        <v>0</v>
      </c>
      <c r="AT49" s="27"/>
      <c r="AU49" s="94"/>
      <c r="AW49" s="89">
        <f t="shared" si="13"/>
        <v>0</v>
      </c>
      <c r="AX49" s="89">
        <f t="shared" si="14"/>
        <v>0</v>
      </c>
      <c r="AY49" s="89">
        <f t="shared" si="15"/>
        <v>0</v>
      </c>
      <c r="AZ49" s="89">
        <f t="shared" si="16"/>
        <v>0</v>
      </c>
      <c r="BB49" s="96">
        <f t="shared" si="17"/>
        <v>0</v>
      </c>
      <c r="BC49" s="96">
        <f t="shared" si="17"/>
        <v>0</v>
      </c>
      <c r="BD49" s="84" t="str">
        <f t="shared" si="18"/>
        <v/>
      </c>
      <c r="BE49" s="84" t="str">
        <f t="shared" si="18"/>
        <v/>
      </c>
      <c r="BF49" s="105"/>
      <c r="BG49" s="97" t="str">
        <f t="shared" si="19"/>
        <v/>
      </c>
      <c r="BH49" s="80"/>
      <c r="BI49" s="85">
        <f t="shared" si="20"/>
        <v>0</v>
      </c>
      <c r="BJ49" s="85">
        <f t="shared" si="20"/>
        <v>0</v>
      </c>
      <c r="BK49" s="12"/>
      <c r="BL49" s="12"/>
      <c r="BM49" s="98">
        <f t="shared" si="35"/>
        <v>0</v>
      </c>
      <c r="BN49" s="99">
        <f t="shared" si="36"/>
        <v>0</v>
      </c>
      <c r="BO49" s="98">
        <f t="shared" si="37"/>
        <v>0</v>
      </c>
      <c r="BP49" s="99">
        <f t="shared" si="38"/>
        <v>0</v>
      </c>
      <c r="BQ49" s="12"/>
      <c r="BR49" s="12"/>
      <c r="BS49" s="12"/>
      <c r="BT49" s="12"/>
      <c r="BU49" s="98">
        <f t="shared" si="46"/>
        <v>0</v>
      </c>
      <c r="BV49" s="99">
        <f t="shared" si="45"/>
        <v>0</v>
      </c>
      <c r="BW49" s="98">
        <f t="shared" si="47"/>
        <v>0</v>
      </c>
      <c r="BX49" s="99">
        <f t="shared" si="23"/>
        <v>0</v>
      </c>
      <c r="BY49" s="105"/>
      <c r="BZ49" s="85">
        <f t="shared" si="39"/>
        <v>0</v>
      </c>
      <c r="CA49" s="85">
        <f t="shared" si="39"/>
        <v>0</v>
      </c>
      <c r="CB49" s="80"/>
      <c r="CC49" s="105"/>
      <c r="CD49" s="12"/>
      <c r="CE49" s="12"/>
      <c r="CF49" s="98">
        <f t="shared" si="40"/>
        <v>0</v>
      </c>
      <c r="CG49" s="99">
        <f t="shared" si="41"/>
        <v>0</v>
      </c>
      <c r="CH49" s="98">
        <f t="shared" si="42"/>
        <v>0</v>
      </c>
      <c r="CI49" s="99">
        <f t="shared" si="43"/>
        <v>0</v>
      </c>
      <c r="CJ49" s="101"/>
      <c r="CK49" s="101"/>
      <c r="CL49" s="101"/>
      <c r="CQ49" s="6"/>
      <c r="CS49" s="102"/>
      <c r="CT49" s="103"/>
      <c r="CU49" s="82"/>
      <c r="CV49" s="105"/>
      <c r="CW49" s="82"/>
      <c r="CX49" s="82"/>
      <c r="CY49" s="82"/>
      <c r="CZ49" s="82"/>
      <c r="DA49" s="82"/>
      <c r="DB49" s="82"/>
      <c r="DC49" s="8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06"/>
      <c r="DP49" s="80"/>
      <c r="DQ49" s="80"/>
      <c r="DR49" s="110"/>
      <c r="DS49" s="80"/>
      <c r="DT49" s="80"/>
      <c r="DU49" s="80"/>
    </row>
    <row r="50" spans="1:125" ht="14.25" customHeight="1" x14ac:dyDescent="0.2">
      <c r="A50" s="80">
        <f t="shared" si="44"/>
        <v>34</v>
      </c>
      <c r="B50" s="81"/>
      <c r="C50" s="82"/>
      <c r="D50" s="83" t="str">
        <f t="shared" si="24"/>
        <v/>
      </c>
      <c r="E50" s="84" t="str">
        <f t="shared" si="25"/>
        <v/>
      </c>
      <c r="F50" s="85">
        <f t="shared" si="26"/>
        <v>0</v>
      </c>
      <c r="G50" s="85">
        <f t="shared" si="9"/>
        <v>0</v>
      </c>
      <c r="H50" s="12"/>
      <c r="I50" s="12"/>
      <c r="J50" s="86">
        <f t="shared" si="10"/>
        <v>0</v>
      </c>
      <c r="K50" s="86">
        <f t="shared" si="10"/>
        <v>0</v>
      </c>
      <c r="L50" s="87"/>
      <c r="M50" s="87"/>
      <c r="N50" s="87"/>
      <c r="O50" s="87"/>
      <c r="P50" s="87"/>
      <c r="Q50" s="87"/>
      <c r="R50" s="87"/>
      <c r="S50" s="87"/>
      <c r="T50" s="86">
        <f t="shared" si="27"/>
        <v>0</v>
      </c>
      <c r="U50" s="86">
        <f t="shared" si="28"/>
        <v>0</v>
      </c>
      <c r="V50" s="105"/>
      <c r="W50" s="12"/>
      <c r="X50" s="89">
        <f t="shared" si="11"/>
        <v>0</v>
      </c>
      <c r="Y50" s="12"/>
      <c r="Z50" s="89">
        <f t="shared" si="12"/>
        <v>0</v>
      </c>
      <c r="AA50" s="90"/>
      <c r="AB50" s="91" t="str">
        <f t="shared" si="29"/>
        <v/>
      </c>
      <c r="AC50" s="83" t="str">
        <f t="shared" si="30"/>
        <v/>
      </c>
      <c r="AD50" s="83" t="str">
        <f t="shared" si="31"/>
        <v/>
      </c>
      <c r="AE50" s="83" t="str">
        <f t="shared" si="31"/>
        <v/>
      </c>
      <c r="AF50" s="80"/>
      <c r="AG50" s="27"/>
      <c r="AH50" s="27"/>
      <c r="AI50" s="27"/>
      <c r="AJ50" s="86">
        <f t="shared" si="32"/>
        <v>0</v>
      </c>
      <c r="AK50" s="86">
        <f t="shared" si="32"/>
        <v>0</v>
      </c>
      <c r="AL50" s="27"/>
      <c r="AM50" s="27"/>
      <c r="AN50" s="86">
        <f t="shared" si="33"/>
        <v>0</v>
      </c>
      <c r="AO50" s="86">
        <f t="shared" si="33"/>
        <v>0</v>
      </c>
      <c r="AP50" s="27"/>
      <c r="AQ50" s="27"/>
      <c r="AR50" s="86">
        <f t="shared" si="34"/>
        <v>0</v>
      </c>
      <c r="AS50" s="86">
        <f t="shared" si="34"/>
        <v>0</v>
      </c>
      <c r="AT50" s="27"/>
      <c r="AU50" s="94"/>
      <c r="AW50" s="89">
        <f t="shared" si="13"/>
        <v>0</v>
      </c>
      <c r="AX50" s="89">
        <f t="shared" si="14"/>
        <v>0</v>
      </c>
      <c r="AY50" s="89">
        <f t="shared" si="15"/>
        <v>0</v>
      </c>
      <c r="AZ50" s="89">
        <f t="shared" si="16"/>
        <v>0</v>
      </c>
      <c r="BB50" s="96">
        <f t="shared" si="17"/>
        <v>0</v>
      </c>
      <c r="BC50" s="96">
        <f t="shared" si="17"/>
        <v>0</v>
      </c>
      <c r="BD50" s="84" t="str">
        <f t="shared" si="18"/>
        <v/>
      </c>
      <c r="BE50" s="84" t="str">
        <f t="shared" si="18"/>
        <v/>
      </c>
      <c r="BF50" s="105"/>
      <c r="BG50" s="97" t="str">
        <f t="shared" si="19"/>
        <v/>
      </c>
      <c r="BH50" s="80"/>
      <c r="BI50" s="85">
        <f t="shared" si="20"/>
        <v>0</v>
      </c>
      <c r="BJ50" s="85">
        <f t="shared" si="20"/>
        <v>0</v>
      </c>
      <c r="BK50" s="12"/>
      <c r="BL50" s="12"/>
      <c r="BM50" s="98">
        <f t="shared" si="35"/>
        <v>0</v>
      </c>
      <c r="BN50" s="99">
        <f t="shared" si="36"/>
        <v>0</v>
      </c>
      <c r="BO50" s="98">
        <f t="shared" si="37"/>
        <v>0</v>
      </c>
      <c r="BP50" s="99">
        <f t="shared" si="38"/>
        <v>0</v>
      </c>
      <c r="BQ50" s="12"/>
      <c r="BR50" s="12"/>
      <c r="BS50" s="12"/>
      <c r="BT50" s="12"/>
      <c r="BU50" s="98">
        <f t="shared" si="46"/>
        <v>0</v>
      </c>
      <c r="BV50" s="99">
        <f t="shared" si="45"/>
        <v>0</v>
      </c>
      <c r="BW50" s="98">
        <f t="shared" si="47"/>
        <v>0</v>
      </c>
      <c r="BX50" s="99">
        <f t="shared" si="23"/>
        <v>0</v>
      </c>
      <c r="BY50" s="105"/>
      <c r="BZ50" s="85">
        <f t="shared" si="39"/>
        <v>0</v>
      </c>
      <c r="CA50" s="85">
        <f t="shared" si="39"/>
        <v>0</v>
      </c>
      <c r="CB50" s="80"/>
      <c r="CC50" s="105"/>
      <c r="CD50" s="12"/>
      <c r="CE50" s="12"/>
      <c r="CF50" s="98">
        <f t="shared" si="40"/>
        <v>0</v>
      </c>
      <c r="CG50" s="99">
        <f t="shared" si="41"/>
        <v>0</v>
      </c>
      <c r="CH50" s="98">
        <f t="shared" si="42"/>
        <v>0</v>
      </c>
      <c r="CI50" s="99">
        <f t="shared" si="43"/>
        <v>0</v>
      </c>
      <c r="CJ50" s="101"/>
      <c r="CK50" s="101"/>
      <c r="CL50" s="101"/>
      <c r="CQ50" s="108"/>
      <c r="CS50" s="102"/>
      <c r="CT50" s="103"/>
      <c r="CU50" s="27"/>
      <c r="CV50" s="105"/>
      <c r="CW50" s="82"/>
      <c r="CX50" s="82"/>
      <c r="CY50" s="82"/>
      <c r="CZ50" s="82"/>
      <c r="DA50" s="82"/>
      <c r="DB50" s="82"/>
      <c r="DC50" s="8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06"/>
      <c r="DP50" s="80"/>
      <c r="DQ50" s="80"/>
      <c r="DR50" s="110"/>
      <c r="DS50" s="80"/>
      <c r="DT50" s="80"/>
      <c r="DU50" s="80"/>
    </row>
    <row r="51" spans="1:125" ht="14.25" customHeight="1" x14ac:dyDescent="0.2">
      <c r="A51" s="80">
        <f t="shared" si="44"/>
        <v>35</v>
      </c>
      <c r="B51" s="81"/>
      <c r="C51" s="82"/>
      <c r="D51" s="83" t="str">
        <f t="shared" si="24"/>
        <v/>
      </c>
      <c r="E51" s="84" t="str">
        <f t="shared" si="25"/>
        <v/>
      </c>
      <c r="F51" s="85">
        <f t="shared" si="26"/>
        <v>0</v>
      </c>
      <c r="G51" s="85">
        <f t="shared" si="9"/>
        <v>0</v>
      </c>
      <c r="H51" s="12"/>
      <c r="I51" s="12"/>
      <c r="J51" s="86">
        <f t="shared" si="10"/>
        <v>0</v>
      </c>
      <c r="K51" s="86">
        <f t="shared" si="10"/>
        <v>0</v>
      </c>
      <c r="L51" s="87"/>
      <c r="M51" s="87"/>
      <c r="N51" s="87"/>
      <c r="O51" s="87"/>
      <c r="P51" s="87"/>
      <c r="Q51" s="87"/>
      <c r="R51" s="87"/>
      <c r="S51" s="87"/>
      <c r="T51" s="86">
        <f t="shared" si="27"/>
        <v>0</v>
      </c>
      <c r="U51" s="86">
        <f t="shared" si="28"/>
        <v>0</v>
      </c>
      <c r="V51" s="105"/>
      <c r="W51" s="12"/>
      <c r="X51" s="89">
        <f t="shared" si="11"/>
        <v>0</v>
      </c>
      <c r="Y51" s="12"/>
      <c r="Z51" s="89">
        <f t="shared" si="12"/>
        <v>0</v>
      </c>
      <c r="AA51" s="90"/>
      <c r="AB51" s="91" t="str">
        <f t="shared" si="29"/>
        <v/>
      </c>
      <c r="AC51" s="83" t="str">
        <f t="shared" si="30"/>
        <v/>
      </c>
      <c r="AD51" s="83" t="str">
        <f t="shared" si="31"/>
        <v/>
      </c>
      <c r="AE51" s="83" t="str">
        <f t="shared" si="31"/>
        <v/>
      </c>
      <c r="AF51" s="80"/>
      <c r="AG51" s="27"/>
      <c r="AH51" s="27"/>
      <c r="AI51" s="27"/>
      <c r="AJ51" s="86">
        <f t="shared" si="32"/>
        <v>0</v>
      </c>
      <c r="AK51" s="86">
        <f t="shared" si="32"/>
        <v>0</v>
      </c>
      <c r="AL51" s="27"/>
      <c r="AM51" s="27"/>
      <c r="AN51" s="86">
        <f t="shared" si="33"/>
        <v>0</v>
      </c>
      <c r="AO51" s="86">
        <f t="shared" si="33"/>
        <v>0</v>
      </c>
      <c r="AP51" s="27"/>
      <c r="AQ51" s="27"/>
      <c r="AR51" s="86">
        <f t="shared" si="34"/>
        <v>0</v>
      </c>
      <c r="AS51" s="86">
        <f t="shared" si="34"/>
        <v>0</v>
      </c>
      <c r="AT51" s="27"/>
      <c r="AU51" s="94"/>
      <c r="AW51" s="89">
        <f t="shared" si="13"/>
        <v>0</v>
      </c>
      <c r="AX51" s="89">
        <f t="shared" si="14"/>
        <v>0</v>
      </c>
      <c r="AY51" s="89">
        <f t="shared" si="15"/>
        <v>0</v>
      </c>
      <c r="AZ51" s="89">
        <f t="shared" si="16"/>
        <v>0</v>
      </c>
      <c r="BB51" s="96">
        <f t="shared" si="17"/>
        <v>0</v>
      </c>
      <c r="BC51" s="96">
        <f t="shared" si="17"/>
        <v>0</v>
      </c>
      <c r="BD51" s="84" t="str">
        <f t="shared" si="18"/>
        <v/>
      </c>
      <c r="BE51" s="84" t="str">
        <f t="shared" si="18"/>
        <v/>
      </c>
      <c r="BF51" s="105"/>
      <c r="BG51" s="97" t="str">
        <f t="shared" si="19"/>
        <v/>
      </c>
      <c r="BH51" s="80"/>
      <c r="BI51" s="85">
        <f t="shared" si="20"/>
        <v>0</v>
      </c>
      <c r="BJ51" s="85">
        <f t="shared" si="20"/>
        <v>0</v>
      </c>
      <c r="BK51" s="12"/>
      <c r="BL51" s="12"/>
      <c r="BM51" s="98">
        <f t="shared" si="35"/>
        <v>0</v>
      </c>
      <c r="BN51" s="99">
        <f t="shared" si="36"/>
        <v>0</v>
      </c>
      <c r="BO51" s="98">
        <f t="shared" si="37"/>
        <v>0</v>
      </c>
      <c r="BP51" s="99">
        <f t="shared" si="38"/>
        <v>0</v>
      </c>
      <c r="BQ51" s="12"/>
      <c r="BR51" s="12"/>
      <c r="BS51" s="12"/>
      <c r="BT51" s="12"/>
      <c r="BU51" s="98">
        <f t="shared" si="46"/>
        <v>0</v>
      </c>
      <c r="BV51" s="99">
        <f t="shared" si="45"/>
        <v>0</v>
      </c>
      <c r="BW51" s="98">
        <f t="shared" si="47"/>
        <v>0</v>
      </c>
      <c r="BX51" s="99">
        <f t="shared" si="23"/>
        <v>0</v>
      </c>
      <c r="BY51" s="105"/>
      <c r="BZ51" s="85">
        <f t="shared" si="39"/>
        <v>0</v>
      </c>
      <c r="CA51" s="85">
        <f t="shared" si="39"/>
        <v>0</v>
      </c>
      <c r="CB51" s="80"/>
      <c r="CC51" s="105"/>
      <c r="CD51" s="12"/>
      <c r="CE51" s="12"/>
      <c r="CF51" s="98">
        <f t="shared" si="40"/>
        <v>0</v>
      </c>
      <c r="CG51" s="99">
        <f t="shared" si="41"/>
        <v>0</v>
      </c>
      <c r="CH51" s="98">
        <f t="shared" si="42"/>
        <v>0</v>
      </c>
      <c r="CI51" s="99">
        <f t="shared" si="43"/>
        <v>0</v>
      </c>
      <c r="CJ51" s="101"/>
      <c r="CK51" s="101"/>
      <c r="CL51" s="101"/>
      <c r="CQ51" s="108"/>
      <c r="CS51" s="102"/>
      <c r="CT51" s="103"/>
      <c r="CU51" s="82"/>
      <c r="CV51" s="105"/>
      <c r="CW51" s="82"/>
      <c r="CX51" s="82"/>
      <c r="CY51" s="82"/>
      <c r="CZ51" s="82"/>
      <c r="DA51" s="82"/>
      <c r="DB51" s="82"/>
      <c r="DC51" s="8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06"/>
      <c r="DP51" s="80"/>
      <c r="DQ51" s="80"/>
      <c r="DR51" s="110"/>
      <c r="DS51" s="80"/>
      <c r="DT51" s="80"/>
      <c r="DU51" s="80"/>
    </row>
    <row r="52" spans="1:125" ht="14.25" customHeight="1" x14ac:dyDescent="0.2">
      <c r="A52" s="80">
        <f t="shared" si="44"/>
        <v>36</v>
      </c>
      <c r="B52" s="81"/>
      <c r="C52" s="82"/>
      <c r="D52" s="83" t="str">
        <f t="shared" si="24"/>
        <v/>
      </c>
      <c r="E52" s="84" t="str">
        <f t="shared" si="25"/>
        <v/>
      </c>
      <c r="F52" s="85">
        <f t="shared" si="26"/>
        <v>0</v>
      </c>
      <c r="G52" s="85">
        <f t="shared" si="9"/>
        <v>0</v>
      </c>
      <c r="H52" s="12"/>
      <c r="I52" s="12"/>
      <c r="J52" s="86">
        <f t="shared" si="10"/>
        <v>0</v>
      </c>
      <c r="K52" s="86">
        <f t="shared" si="10"/>
        <v>0</v>
      </c>
      <c r="L52" s="87"/>
      <c r="M52" s="87"/>
      <c r="N52" s="87"/>
      <c r="O52" s="87"/>
      <c r="P52" s="87"/>
      <c r="Q52" s="87"/>
      <c r="R52" s="87"/>
      <c r="S52" s="87"/>
      <c r="T52" s="86">
        <f t="shared" si="27"/>
        <v>0</v>
      </c>
      <c r="U52" s="86">
        <f t="shared" si="28"/>
        <v>0</v>
      </c>
      <c r="V52" s="105"/>
      <c r="W52" s="12"/>
      <c r="X52" s="89">
        <f t="shared" si="11"/>
        <v>0</v>
      </c>
      <c r="Y52" s="12"/>
      <c r="Z52" s="89">
        <f t="shared" si="12"/>
        <v>0</v>
      </c>
      <c r="AA52" s="90"/>
      <c r="AB52" s="91" t="str">
        <f t="shared" si="29"/>
        <v/>
      </c>
      <c r="AC52" s="83" t="str">
        <f t="shared" si="30"/>
        <v/>
      </c>
      <c r="AD52" s="83" t="str">
        <f t="shared" si="31"/>
        <v/>
      </c>
      <c r="AE52" s="83" t="str">
        <f t="shared" si="31"/>
        <v/>
      </c>
      <c r="AF52" s="80"/>
      <c r="AG52" s="27"/>
      <c r="AH52" s="27"/>
      <c r="AI52" s="27"/>
      <c r="AJ52" s="86">
        <f t="shared" si="32"/>
        <v>0</v>
      </c>
      <c r="AK52" s="86">
        <f t="shared" si="32"/>
        <v>0</v>
      </c>
      <c r="AL52" s="27"/>
      <c r="AM52" s="27"/>
      <c r="AN52" s="86">
        <f t="shared" si="33"/>
        <v>0</v>
      </c>
      <c r="AO52" s="86">
        <f t="shared" si="33"/>
        <v>0</v>
      </c>
      <c r="AP52" s="27"/>
      <c r="AQ52" s="27"/>
      <c r="AR52" s="86">
        <f t="shared" si="34"/>
        <v>0</v>
      </c>
      <c r="AS52" s="86">
        <f t="shared" si="34"/>
        <v>0</v>
      </c>
      <c r="AT52" s="27"/>
      <c r="AU52" s="94"/>
      <c r="AW52" s="89">
        <f t="shared" si="13"/>
        <v>0</v>
      </c>
      <c r="AX52" s="89">
        <f t="shared" si="14"/>
        <v>0</v>
      </c>
      <c r="AY52" s="89">
        <f t="shared" si="15"/>
        <v>0</v>
      </c>
      <c r="AZ52" s="89">
        <f t="shared" si="16"/>
        <v>0</v>
      </c>
      <c r="BB52" s="96">
        <f t="shared" si="17"/>
        <v>0</v>
      </c>
      <c r="BC52" s="96">
        <f t="shared" si="17"/>
        <v>0</v>
      </c>
      <c r="BD52" s="84" t="str">
        <f t="shared" si="18"/>
        <v/>
      </c>
      <c r="BE52" s="84" t="str">
        <f t="shared" si="18"/>
        <v/>
      </c>
      <c r="BF52" s="105"/>
      <c r="BG52" s="97" t="str">
        <f t="shared" si="19"/>
        <v/>
      </c>
      <c r="BH52" s="80"/>
      <c r="BI52" s="85">
        <f t="shared" si="20"/>
        <v>0</v>
      </c>
      <c r="BJ52" s="85">
        <f t="shared" si="20"/>
        <v>0</v>
      </c>
      <c r="BK52" s="12"/>
      <c r="BL52" s="12"/>
      <c r="BM52" s="98">
        <f t="shared" si="35"/>
        <v>0</v>
      </c>
      <c r="BN52" s="99">
        <f t="shared" si="36"/>
        <v>0</v>
      </c>
      <c r="BO52" s="98">
        <f t="shared" si="37"/>
        <v>0</v>
      </c>
      <c r="BP52" s="99">
        <f t="shared" si="38"/>
        <v>0</v>
      </c>
      <c r="BQ52" s="12"/>
      <c r="BR52" s="12"/>
      <c r="BS52" s="12"/>
      <c r="BT52" s="12"/>
      <c r="BU52" s="98">
        <f t="shared" si="46"/>
        <v>0</v>
      </c>
      <c r="BV52" s="99">
        <f t="shared" si="45"/>
        <v>0</v>
      </c>
      <c r="BW52" s="98">
        <f t="shared" si="47"/>
        <v>0</v>
      </c>
      <c r="BX52" s="99">
        <f t="shared" si="23"/>
        <v>0</v>
      </c>
      <c r="BY52" s="105"/>
      <c r="BZ52" s="85">
        <f t="shared" si="39"/>
        <v>0</v>
      </c>
      <c r="CA52" s="85">
        <f t="shared" si="39"/>
        <v>0</v>
      </c>
      <c r="CB52" s="80"/>
      <c r="CC52" s="105"/>
      <c r="CD52" s="12"/>
      <c r="CE52" s="12"/>
      <c r="CF52" s="98">
        <f t="shared" si="40"/>
        <v>0</v>
      </c>
      <c r="CG52" s="99">
        <f t="shared" si="41"/>
        <v>0</v>
      </c>
      <c r="CH52" s="98">
        <f t="shared" si="42"/>
        <v>0</v>
      </c>
      <c r="CI52" s="99">
        <f t="shared" si="43"/>
        <v>0</v>
      </c>
      <c r="CJ52" s="101"/>
      <c r="CK52" s="101"/>
      <c r="CL52" s="101"/>
      <c r="CQ52" s="108"/>
      <c r="CS52" s="102"/>
      <c r="CT52" s="103"/>
      <c r="CU52" s="82"/>
      <c r="CV52" s="105"/>
      <c r="CW52" s="82"/>
      <c r="CX52" s="82"/>
      <c r="CY52" s="82"/>
      <c r="CZ52" s="82"/>
      <c r="DA52" s="82"/>
      <c r="DB52" s="82"/>
      <c r="DC52" s="8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06"/>
      <c r="DP52" s="80"/>
      <c r="DQ52" s="80"/>
      <c r="DR52" s="110"/>
      <c r="DS52" s="80"/>
      <c r="DT52" s="80"/>
      <c r="DU52" s="80"/>
    </row>
    <row r="53" spans="1:125" ht="14.25" customHeight="1" x14ac:dyDescent="0.2">
      <c r="A53" s="80">
        <f t="shared" si="44"/>
        <v>37</v>
      </c>
      <c r="B53" s="81"/>
      <c r="C53" s="82"/>
      <c r="D53" s="83" t="str">
        <f t="shared" si="24"/>
        <v/>
      </c>
      <c r="E53" s="84" t="str">
        <f t="shared" si="25"/>
        <v/>
      </c>
      <c r="F53" s="85">
        <f t="shared" si="26"/>
        <v>0</v>
      </c>
      <c r="G53" s="85">
        <f t="shared" si="9"/>
        <v>0</v>
      </c>
      <c r="H53" s="12"/>
      <c r="I53" s="12"/>
      <c r="J53" s="86">
        <f t="shared" si="10"/>
        <v>0</v>
      </c>
      <c r="K53" s="86">
        <f t="shared" si="10"/>
        <v>0</v>
      </c>
      <c r="L53" s="87"/>
      <c r="M53" s="87"/>
      <c r="N53" s="87"/>
      <c r="O53" s="87"/>
      <c r="P53" s="87"/>
      <c r="Q53" s="87"/>
      <c r="R53" s="87"/>
      <c r="S53" s="87"/>
      <c r="T53" s="86">
        <f t="shared" si="27"/>
        <v>0</v>
      </c>
      <c r="U53" s="86">
        <f t="shared" si="28"/>
        <v>0</v>
      </c>
      <c r="V53" s="105"/>
      <c r="W53" s="12"/>
      <c r="X53" s="89">
        <f t="shared" si="11"/>
        <v>0</v>
      </c>
      <c r="Y53" s="12"/>
      <c r="Z53" s="89">
        <f t="shared" si="12"/>
        <v>0</v>
      </c>
      <c r="AA53" s="90"/>
      <c r="AB53" s="91" t="str">
        <f t="shared" si="29"/>
        <v/>
      </c>
      <c r="AC53" s="83" t="str">
        <f t="shared" si="30"/>
        <v/>
      </c>
      <c r="AD53" s="83" t="str">
        <f t="shared" si="31"/>
        <v/>
      </c>
      <c r="AE53" s="83" t="str">
        <f t="shared" si="31"/>
        <v/>
      </c>
      <c r="AF53" s="80"/>
      <c r="AG53" s="27"/>
      <c r="AH53" s="27"/>
      <c r="AI53" s="27"/>
      <c r="AJ53" s="86">
        <f t="shared" si="32"/>
        <v>0</v>
      </c>
      <c r="AK53" s="86">
        <f t="shared" si="32"/>
        <v>0</v>
      </c>
      <c r="AL53" s="27"/>
      <c r="AM53" s="27"/>
      <c r="AN53" s="86">
        <f t="shared" si="33"/>
        <v>0</v>
      </c>
      <c r="AO53" s="86">
        <f t="shared" si="33"/>
        <v>0</v>
      </c>
      <c r="AP53" s="27"/>
      <c r="AQ53" s="27"/>
      <c r="AR53" s="86">
        <f t="shared" si="34"/>
        <v>0</v>
      </c>
      <c r="AS53" s="86">
        <f t="shared" si="34"/>
        <v>0</v>
      </c>
      <c r="AT53" s="27"/>
      <c r="AU53" s="94"/>
      <c r="AW53" s="89">
        <f t="shared" si="13"/>
        <v>0</v>
      </c>
      <c r="AX53" s="89">
        <f t="shared" si="14"/>
        <v>0</v>
      </c>
      <c r="AY53" s="89">
        <f t="shared" si="15"/>
        <v>0</v>
      </c>
      <c r="AZ53" s="89">
        <f t="shared" si="16"/>
        <v>0</v>
      </c>
      <c r="BB53" s="96">
        <f t="shared" si="17"/>
        <v>0</v>
      </c>
      <c r="BC53" s="96">
        <f t="shared" si="17"/>
        <v>0</v>
      </c>
      <c r="BD53" s="84" t="str">
        <f t="shared" si="18"/>
        <v/>
      </c>
      <c r="BE53" s="84" t="str">
        <f t="shared" si="18"/>
        <v/>
      </c>
      <c r="BF53" s="105"/>
      <c r="BG53" s="97" t="str">
        <f t="shared" si="19"/>
        <v/>
      </c>
      <c r="BH53" s="80"/>
      <c r="BI53" s="85">
        <f t="shared" si="20"/>
        <v>0</v>
      </c>
      <c r="BJ53" s="85">
        <f t="shared" si="20"/>
        <v>0</v>
      </c>
      <c r="BK53" s="12"/>
      <c r="BL53" s="12"/>
      <c r="BM53" s="98">
        <f t="shared" si="35"/>
        <v>0</v>
      </c>
      <c r="BN53" s="99">
        <f t="shared" si="36"/>
        <v>0</v>
      </c>
      <c r="BO53" s="98">
        <f t="shared" si="37"/>
        <v>0</v>
      </c>
      <c r="BP53" s="99">
        <f t="shared" si="38"/>
        <v>0</v>
      </c>
      <c r="BQ53" s="12"/>
      <c r="BR53" s="12"/>
      <c r="BS53" s="12"/>
      <c r="BT53" s="12"/>
      <c r="BU53" s="98">
        <f t="shared" si="46"/>
        <v>0</v>
      </c>
      <c r="BV53" s="99">
        <f t="shared" si="45"/>
        <v>0</v>
      </c>
      <c r="BW53" s="98">
        <f t="shared" si="47"/>
        <v>0</v>
      </c>
      <c r="BX53" s="99">
        <f t="shared" si="23"/>
        <v>0</v>
      </c>
      <c r="BY53" s="105"/>
      <c r="BZ53" s="85">
        <f t="shared" si="39"/>
        <v>0</v>
      </c>
      <c r="CA53" s="85">
        <f t="shared" si="39"/>
        <v>0</v>
      </c>
      <c r="CB53" s="80"/>
      <c r="CC53" s="105"/>
      <c r="CD53" s="12"/>
      <c r="CE53" s="12"/>
      <c r="CF53" s="98">
        <f t="shared" si="40"/>
        <v>0</v>
      </c>
      <c r="CG53" s="99">
        <f t="shared" si="41"/>
        <v>0</v>
      </c>
      <c r="CH53" s="98">
        <f t="shared" si="42"/>
        <v>0</v>
      </c>
      <c r="CI53" s="99">
        <f t="shared" si="43"/>
        <v>0</v>
      </c>
      <c r="CJ53" s="101"/>
      <c r="CK53" s="101"/>
      <c r="CL53" s="101"/>
      <c r="CQ53" s="108"/>
      <c r="CS53" s="102"/>
      <c r="CT53" s="103"/>
      <c r="CU53" s="82"/>
      <c r="CV53" s="105"/>
      <c r="CW53" s="82"/>
      <c r="CX53" s="82"/>
      <c r="CY53" s="82"/>
      <c r="CZ53" s="82"/>
      <c r="DA53" s="82"/>
      <c r="DB53" s="82"/>
      <c r="DC53" s="8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06"/>
      <c r="DP53" s="80"/>
      <c r="DQ53" s="80"/>
      <c r="DR53" s="110"/>
      <c r="DS53" s="80"/>
      <c r="DT53" s="80"/>
      <c r="DU53" s="80"/>
    </row>
    <row r="54" spans="1:125" ht="12.75" x14ac:dyDescent="0.2">
      <c r="A54" s="80">
        <f t="shared" si="44"/>
        <v>38</v>
      </c>
      <c r="B54" s="81"/>
      <c r="C54" s="82"/>
      <c r="D54" s="83" t="str">
        <f t="shared" si="24"/>
        <v/>
      </c>
      <c r="E54" s="84" t="str">
        <f t="shared" si="25"/>
        <v/>
      </c>
      <c r="F54" s="85">
        <f t="shared" si="26"/>
        <v>0</v>
      </c>
      <c r="G54" s="85">
        <f t="shared" si="9"/>
        <v>0</v>
      </c>
      <c r="H54" s="12"/>
      <c r="I54" s="12"/>
      <c r="J54" s="86">
        <f t="shared" ref="J54:K96" si="48">ROUND(F54-H54,2)</f>
        <v>0</v>
      </c>
      <c r="K54" s="86">
        <f t="shared" si="48"/>
        <v>0</v>
      </c>
      <c r="L54" s="87"/>
      <c r="M54" s="87"/>
      <c r="N54" s="87"/>
      <c r="O54" s="87"/>
      <c r="P54" s="87"/>
      <c r="Q54" s="87"/>
      <c r="R54" s="87"/>
      <c r="S54" s="87"/>
      <c r="T54" s="86">
        <f t="shared" si="27"/>
        <v>0</v>
      </c>
      <c r="U54" s="86">
        <f t="shared" si="28"/>
        <v>0</v>
      </c>
      <c r="V54" s="105"/>
      <c r="W54" s="12"/>
      <c r="X54" s="89">
        <f t="shared" si="11"/>
        <v>0</v>
      </c>
      <c r="Y54" s="12"/>
      <c r="Z54" s="89">
        <f t="shared" si="12"/>
        <v>0</v>
      </c>
      <c r="AA54" s="90"/>
      <c r="AB54" s="91" t="str">
        <f t="shared" si="29"/>
        <v/>
      </c>
      <c r="AC54" s="83" t="str">
        <f t="shared" si="30"/>
        <v/>
      </c>
      <c r="AD54" s="83" t="str">
        <f t="shared" si="31"/>
        <v/>
      </c>
      <c r="AE54" s="83" t="str">
        <f t="shared" si="31"/>
        <v/>
      </c>
      <c r="AF54" s="80"/>
      <c r="AG54" s="27"/>
      <c r="AH54" s="27"/>
      <c r="AI54" s="27"/>
      <c r="AJ54" s="86">
        <f t="shared" si="32"/>
        <v>0</v>
      </c>
      <c r="AK54" s="86">
        <f t="shared" si="32"/>
        <v>0</v>
      </c>
      <c r="AL54" s="27"/>
      <c r="AM54" s="27"/>
      <c r="AN54" s="86">
        <f t="shared" si="33"/>
        <v>0</v>
      </c>
      <c r="AO54" s="86">
        <f t="shared" si="33"/>
        <v>0</v>
      </c>
      <c r="AP54" s="27"/>
      <c r="AQ54" s="27"/>
      <c r="AR54" s="86">
        <f t="shared" si="34"/>
        <v>0</v>
      </c>
      <c r="AS54" s="86">
        <f t="shared" si="34"/>
        <v>0</v>
      </c>
      <c r="AT54" s="27"/>
      <c r="AU54" s="94"/>
      <c r="AW54" s="89">
        <f t="shared" si="13"/>
        <v>0</v>
      </c>
      <c r="AX54" s="89">
        <f t="shared" si="14"/>
        <v>0</v>
      </c>
      <c r="AY54" s="89">
        <f t="shared" si="15"/>
        <v>0</v>
      </c>
      <c r="AZ54" s="89">
        <f t="shared" si="16"/>
        <v>0</v>
      </c>
      <c r="BB54" s="96">
        <f t="shared" ref="BB54:BC96" si="49">IF($AA54="*",J54,0)</f>
        <v>0</v>
      </c>
      <c r="BC54" s="96">
        <f t="shared" si="49"/>
        <v>0</v>
      </c>
      <c r="BD54" s="84" t="str">
        <f t="shared" ref="BD54:BE96" si="50">IF(DF54="","",DF54)</f>
        <v/>
      </c>
      <c r="BE54" s="84" t="str">
        <f t="shared" si="50"/>
        <v/>
      </c>
      <c r="BF54" s="105"/>
      <c r="BG54" s="97" t="str">
        <f t="shared" si="19"/>
        <v/>
      </c>
      <c r="BH54" s="80"/>
      <c r="BI54" s="85">
        <f t="shared" ref="BI54:BJ96" si="51">F54</f>
        <v>0</v>
      </c>
      <c r="BJ54" s="85">
        <f t="shared" si="51"/>
        <v>0</v>
      </c>
      <c r="BK54" s="12"/>
      <c r="BL54" s="12"/>
      <c r="BM54" s="98">
        <f t="shared" si="35"/>
        <v>0</v>
      </c>
      <c r="BN54" s="99">
        <f t="shared" si="36"/>
        <v>0</v>
      </c>
      <c r="BO54" s="98">
        <f t="shared" si="37"/>
        <v>0</v>
      </c>
      <c r="BP54" s="99">
        <f t="shared" si="38"/>
        <v>0</v>
      </c>
      <c r="BQ54" s="12"/>
      <c r="BR54" s="12"/>
      <c r="BS54" s="12"/>
      <c r="BT54" s="12"/>
      <c r="BU54" s="98">
        <f t="shared" si="46"/>
        <v>0</v>
      </c>
      <c r="BV54" s="99">
        <f t="shared" si="45"/>
        <v>0</v>
      </c>
      <c r="BW54" s="98">
        <f t="shared" si="47"/>
        <v>0</v>
      </c>
      <c r="BX54" s="99">
        <f t="shared" si="23"/>
        <v>0</v>
      </c>
      <c r="BY54" s="105"/>
      <c r="BZ54" s="85">
        <f t="shared" ref="BZ54:CA96" si="52">H54</f>
        <v>0</v>
      </c>
      <c r="CA54" s="85">
        <f t="shared" si="52"/>
        <v>0</v>
      </c>
      <c r="CB54" s="80"/>
      <c r="CC54" s="105"/>
      <c r="CD54" s="12"/>
      <c r="CE54" s="12"/>
      <c r="CF54" s="98">
        <f t="shared" si="40"/>
        <v>0</v>
      </c>
      <c r="CG54" s="99">
        <f t="shared" si="41"/>
        <v>0</v>
      </c>
      <c r="CH54" s="98">
        <f t="shared" si="42"/>
        <v>0</v>
      </c>
      <c r="CI54" s="99">
        <f t="shared" si="43"/>
        <v>0</v>
      </c>
      <c r="CJ54" s="101"/>
      <c r="CK54" s="101"/>
      <c r="CL54" s="101"/>
      <c r="CQ54" s="108"/>
      <c r="CS54" s="102"/>
      <c r="CT54" s="103"/>
      <c r="CU54" s="82"/>
      <c r="CV54" s="105"/>
      <c r="CW54" s="82"/>
      <c r="CX54" s="82"/>
      <c r="CY54" s="82"/>
      <c r="CZ54" s="82"/>
      <c r="DA54" s="82"/>
      <c r="DB54" s="82"/>
      <c r="DC54" s="8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06"/>
      <c r="DP54" s="80"/>
      <c r="DQ54" s="80"/>
      <c r="DR54" s="110"/>
      <c r="DS54" s="80"/>
      <c r="DT54" s="80"/>
      <c r="DU54" s="80"/>
    </row>
    <row r="55" spans="1:125" ht="12.75" x14ac:dyDescent="0.2">
      <c r="A55" s="80">
        <f t="shared" si="44"/>
        <v>39</v>
      </c>
      <c r="B55" s="81"/>
      <c r="C55" s="82"/>
      <c r="D55" s="83" t="str">
        <f t="shared" si="24"/>
        <v/>
      </c>
      <c r="E55" s="84" t="str">
        <f t="shared" si="25"/>
        <v/>
      </c>
      <c r="F55" s="85">
        <f t="shared" si="26"/>
        <v>0</v>
      </c>
      <c r="G55" s="85">
        <f t="shared" si="9"/>
        <v>0</v>
      </c>
      <c r="H55" s="12"/>
      <c r="I55" s="12"/>
      <c r="J55" s="86">
        <f t="shared" si="48"/>
        <v>0</v>
      </c>
      <c r="K55" s="86">
        <f t="shared" si="48"/>
        <v>0</v>
      </c>
      <c r="L55" s="87"/>
      <c r="M55" s="87"/>
      <c r="N55" s="87"/>
      <c r="O55" s="87"/>
      <c r="P55" s="87"/>
      <c r="Q55" s="87"/>
      <c r="R55" s="87"/>
      <c r="S55" s="87"/>
      <c r="T55" s="86">
        <f t="shared" si="27"/>
        <v>0</v>
      </c>
      <c r="U55" s="86">
        <f t="shared" si="28"/>
        <v>0</v>
      </c>
      <c r="V55" s="105"/>
      <c r="W55" s="12"/>
      <c r="X55" s="89">
        <f t="shared" si="11"/>
        <v>0</v>
      </c>
      <c r="Y55" s="12"/>
      <c r="Z55" s="89">
        <f t="shared" si="12"/>
        <v>0</v>
      </c>
      <c r="AA55" s="90"/>
      <c r="AB55" s="91" t="str">
        <f t="shared" si="29"/>
        <v/>
      </c>
      <c r="AC55" s="83" t="str">
        <f t="shared" si="30"/>
        <v/>
      </c>
      <c r="AD55" s="83" t="str">
        <f t="shared" si="31"/>
        <v/>
      </c>
      <c r="AE55" s="83" t="str">
        <f t="shared" si="31"/>
        <v/>
      </c>
      <c r="AF55" s="80"/>
      <c r="AG55" s="27"/>
      <c r="AH55" s="27"/>
      <c r="AI55" s="27"/>
      <c r="AJ55" s="86">
        <f t="shared" si="32"/>
        <v>0</v>
      </c>
      <c r="AK55" s="86">
        <f t="shared" si="32"/>
        <v>0</v>
      </c>
      <c r="AL55" s="27"/>
      <c r="AM55" s="27"/>
      <c r="AN55" s="86">
        <f t="shared" si="33"/>
        <v>0</v>
      </c>
      <c r="AO55" s="86">
        <f t="shared" si="33"/>
        <v>0</v>
      </c>
      <c r="AP55" s="27"/>
      <c r="AQ55" s="27"/>
      <c r="AR55" s="86">
        <f t="shared" si="34"/>
        <v>0</v>
      </c>
      <c r="AS55" s="86">
        <f t="shared" si="34"/>
        <v>0</v>
      </c>
      <c r="AT55" s="27"/>
      <c r="AU55" s="94"/>
      <c r="AW55" s="89">
        <f t="shared" si="13"/>
        <v>0</v>
      </c>
      <c r="AX55" s="89">
        <f t="shared" si="14"/>
        <v>0</v>
      </c>
      <c r="AY55" s="89">
        <f t="shared" si="15"/>
        <v>0</v>
      </c>
      <c r="AZ55" s="89">
        <f t="shared" si="16"/>
        <v>0</v>
      </c>
      <c r="BB55" s="96">
        <f t="shared" si="49"/>
        <v>0</v>
      </c>
      <c r="BC55" s="96">
        <f t="shared" si="49"/>
        <v>0</v>
      </c>
      <c r="BD55" s="84" t="str">
        <f t="shared" si="50"/>
        <v/>
      </c>
      <c r="BE55" s="84" t="str">
        <f t="shared" si="50"/>
        <v/>
      </c>
      <c r="BF55" s="105"/>
      <c r="BG55" s="97" t="str">
        <f t="shared" si="19"/>
        <v/>
      </c>
      <c r="BH55" s="80"/>
      <c r="BI55" s="85">
        <f t="shared" si="51"/>
        <v>0</v>
      </c>
      <c r="BJ55" s="85">
        <f t="shared" si="51"/>
        <v>0</v>
      </c>
      <c r="BK55" s="12"/>
      <c r="BL55" s="12"/>
      <c r="BM55" s="98">
        <f t="shared" si="35"/>
        <v>0</v>
      </c>
      <c r="BN55" s="99">
        <f t="shared" si="36"/>
        <v>0</v>
      </c>
      <c r="BO55" s="98">
        <f t="shared" si="37"/>
        <v>0</v>
      </c>
      <c r="BP55" s="99">
        <f t="shared" si="38"/>
        <v>0</v>
      </c>
      <c r="BQ55" s="12"/>
      <c r="BR55" s="12"/>
      <c r="BS55" s="12"/>
      <c r="BT55" s="12"/>
      <c r="BU55" s="98">
        <f t="shared" si="46"/>
        <v>0</v>
      </c>
      <c r="BV55" s="99">
        <f t="shared" si="45"/>
        <v>0</v>
      </c>
      <c r="BW55" s="98">
        <f t="shared" si="47"/>
        <v>0</v>
      </c>
      <c r="BX55" s="99">
        <f t="shared" si="23"/>
        <v>0</v>
      </c>
      <c r="BY55" s="105"/>
      <c r="BZ55" s="85">
        <f t="shared" si="52"/>
        <v>0</v>
      </c>
      <c r="CA55" s="85">
        <f t="shared" si="52"/>
        <v>0</v>
      </c>
      <c r="CB55" s="80"/>
      <c r="CC55" s="105"/>
      <c r="CD55" s="12"/>
      <c r="CE55" s="12"/>
      <c r="CF55" s="98">
        <f t="shared" si="40"/>
        <v>0</v>
      </c>
      <c r="CG55" s="99">
        <f t="shared" si="41"/>
        <v>0</v>
      </c>
      <c r="CH55" s="98">
        <f t="shared" si="42"/>
        <v>0</v>
      </c>
      <c r="CI55" s="99">
        <f t="shared" si="43"/>
        <v>0</v>
      </c>
      <c r="CJ55" s="101"/>
      <c r="CK55" s="101"/>
      <c r="CL55" s="101"/>
      <c r="CQ55" s="108"/>
      <c r="CS55" s="102"/>
      <c r="CT55" s="103"/>
      <c r="CU55" s="82"/>
      <c r="CV55" s="105"/>
      <c r="CW55" s="82"/>
      <c r="CX55" s="82"/>
      <c r="CY55" s="82"/>
      <c r="CZ55" s="82"/>
      <c r="DA55" s="82"/>
      <c r="DB55" s="82"/>
      <c r="DC55" s="8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06"/>
      <c r="DP55" s="80"/>
      <c r="DQ55" s="80"/>
      <c r="DR55" s="110"/>
      <c r="DS55" s="80"/>
      <c r="DT55" s="80"/>
      <c r="DU55" s="80"/>
    </row>
    <row r="56" spans="1:125" ht="12.75" x14ac:dyDescent="0.2">
      <c r="A56" s="80">
        <f t="shared" si="44"/>
        <v>40</v>
      </c>
      <c r="B56" s="81"/>
      <c r="C56" s="82"/>
      <c r="D56" s="83" t="str">
        <f t="shared" si="24"/>
        <v/>
      </c>
      <c r="E56" s="84" t="str">
        <f t="shared" si="25"/>
        <v/>
      </c>
      <c r="F56" s="85">
        <f t="shared" si="26"/>
        <v>0</v>
      </c>
      <c r="G56" s="85">
        <f t="shared" si="9"/>
        <v>0</v>
      </c>
      <c r="H56" s="12"/>
      <c r="I56" s="12"/>
      <c r="J56" s="86">
        <f t="shared" si="48"/>
        <v>0</v>
      </c>
      <c r="K56" s="86">
        <f t="shared" si="48"/>
        <v>0</v>
      </c>
      <c r="L56" s="87"/>
      <c r="M56" s="87"/>
      <c r="N56" s="87"/>
      <c r="O56" s="87"/>
      <c r="P56" s="87"/>
      <c r="Q56" s="87"/>
      <c r="R56" s="87"/>
      <c r="S56" s="87"/>
      <c r="T56" s="86">
        <f t="shared" si="27"/>
        <v>0</v>
      </c>
      <c r="U56" s="86">
        <f t="shared" si="28"/>
        <v>0</v>
      </c>
      <c r="V56" s="105"/>
      <c r="W56" s="12"/>
      <c r="X56" s="89">
        <f t="shared" si="11"/>
        <v>0</v>
      </c>
      <c r="Y56" s="12"/>
      <c r="Z56" s="89">
        <f t="shared" si="12"/>
        <v>0</v>
      </c>
      <c r="AA56" s="90"/>
      <c r="AB56" s="91" t="str">
        <f t="shared" si="29"/>
        <v/>
      </c>
      <c r="AC56" s="83" t="str">
        <f t="shared" si="30"/>
        <v/>
      </c>
      <c r="AD56" s="83" t="str">
        <f t="shared" si="31"/>
        <v/>
      </c>
      <c r="AE56" s="83" t="str">
        <f t="shared" si="31"/>
        <v/>
      </c>
      <c r="AF56" s="80"/>
      <c r="AG56" s="27"/>
      <c r="AH56" s="27"/>
      <c r="AI56" s="27"/>
      <c r="AJ56" s="86">
        <f t="shared" si="32"/>
        <v>0</v>
      </c>
      <c r="AK56" s="86">
        <f t="shared" si="32"/>
        <v>0</v>
      </c>
      <c r="AL56" s="27"/>
      <c r="AM56" s="27"/>
      <c r="AN56" s="86">
        <f t="shared" si="33"/>
        <v>0</v>
      </c>
      <c r="AO56" s="86">
        <f t="shared" si="33"/>
        <v>0</v>
      </c>
      <c r="AP56" s="27"/>
      <c r="AQ56" s="27"/>
      <c r="AR56" s="86">
        <f t="shared" si="34"/>
        <v>0</v>
      </c>
      <c r="AS56" s="86">
        <f t="shared" si="34"/>
        <v>0</v>
      </c>
      <c r="AT56" s="27"/>
      <c r="AU56" s="94"/>
      <c r="AW56" s="89">
        <f t="shared" si="13"/>
        <v>0</v>
      </c>
      <c r="AX56" s="89">
        <f t="shared" si="14"/>
        <v>0</v>
      </c>
      <c r="AY56" s="89">
        <f t="shared" si="15"/>
        <v>0</v>
      </c>
      <c r="AZ56" s="89">
        <f t="shared" si="16"/>
        <v>0</v>
      </c>
      <c r="BB56" s="96">
        <f t="shared" si="49"/>
        <v>0</v>
      </c>
      <c r="BC56" s="96">
        <f t="shared" si="49"/>
        <v>0</v>
      </c>
      <c r="BD56" s="84" t="str">
        <f t="shared" si="50"/>
        <v/>
      </c>
      <c r="BE56" s="84" t="str">
        <f t="shared" si="50"/>
        <v/>
      </c>
      <c r="BF56" s="105"/>
      <c r="BG56" s="97" t="str">
        <f t="shared" si="19"/>
        <v/>
      </c>
      <c r="BH56" s="80"/>
      <c r="BI56" s="85">
        <f t="shared" si="51"/>
        <v>0</v>
      </c>
      <c r="BJ56" s="85">
        <f t="shared" si="51"/>
        <v>0</v>
      </c>
      <c r="BK56" s="12"/>
      <c r="BL56" s="12"/>
      <c r="BM56" s="98">
        <f t="shared" si="35"/>
        <v>0</v>
      </c>
      <c r="BN56" s="99">
        <f t="shared" si="36"/>
        <v>0</v>
      </c>
      <c r="BO56" s="98">
        <f t="shared" si="37"/>
        <v>0</v>
      </c>
      <c r="BP56" s="99">
        <f t="shared" si="38"/>
        <v>0</v>
      </c>
      <c r="BQ56" s="12"/>
      <c r="BR56" s="12"/>
      <c r="BS56" s="12"/>
      <c r="BT56" s="12"/>
      <c r="BU56" s="98">
        <f t="shared" si="46"/>
        <v>0</v>
      </c>
      <c r="BV56" s="99">
        <f t="shared" si="45"/>
        <v>0</v>
      </c>
      <c r="BW56" s="98">
        <f t="shared" si="47"/>
        <v>0</v>
      </c>
      <c r="BX56" s="99">
        <f t="shared" si="23"/>
        <v>0</v>
      </c>
      <c r="BY56" s="105"/>
      <c r="BZ56" s="85">
        <f t="shared" si="52"/>
        <v>0</v>
      </c>
      <c r="CA56" s="85">
        <f t="shared" si="52"/>
        <v>0</v>
      </c>
      <c r="CB56" s="80"/>
      <c r="CC56" s="105"/>
      <c r="CD56" s="12"/>
      <c r="CE56" s="12"/>
      <c r="CF56" s="98">
        <f t="shared" si="40"/>
        <v>0</v>
      </c>
      <c r="CG56" s="99">
        <f t="shared" si="41"/>
        <v>0</v>
      </c>
      <c r="CH56" s="98">
        <f t="shared" si="42"/>
        <v>0</v>
      </c>
      <c r="CI56" s="99">
        <f t="shared" si="43"/>
        <v>0</v>
      </c>
      <c r="CJ56" s="101"/>
      <c r="CK56" s="101"/>
      <c r="CL56" s="101"/>
      <c r="CQ56" s="108"/>
      <c r="CS56" s="102"/>
      <c r="CT56" s="103"/>
      <c r="CU56" s="82"/>
      <c r="CV56" s="105"/>
      <c r="CW56" s="82"/>
      <c r="CX56" s="82"/>
      <c r="CY56" s="82"/>
      <c r="CZ56" s="82"/>
      <c r="DA56" s="82"/>
      <c r="DB56" s="82"/>
      <c r="DC56" s="8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06"/>
      <c r="DP56" s="80"/>
      <c r="DQ56" s="80"/>
      <c r="DR56" s="110"/>
      <c r="DS56" s="80"/>
      <c r="DT56" s="80"/>
      <c r="DU56" s="80"/>
    </row>
    <row r="57" spans="1:125" ht="12.75" x14ac:dyDescent="0.2">
      <c r="A57" s="80">
        <f t="shared" si="44"/>
        <v>41</v>
      </c>
      <c r="B57" s="81"/>
      <c r="C57" s="82"/>
      <c r="D57" s="83" t="str">
        <f t="shared" si="24"/>
        <v/>
      </c>
      <c r="E57" s="84" t="str">
        <f t="shared" si="25"/>
        <v/>
      </c>
      <c r="F57" s="85">
        <f t="shared" si="26"/>
        <v>0</v>
      </c>
      <c r="G57" s="85">
        <f t="shared" si="9"/>
        <v>0</v>
      </c>
      <c r="H57" s="12"/>
      <c r="I57" s="12"/>
      <c r="J57" s="86">
        <f t="shared" si="48"/>
        <v>0</v>
      </c>
      <c r="K57" s="86">
        <f t="shared" si="48"/>
        <v>0</v>
      </c>
      <c r="L57" s="87"/>
      <c r="M57" s="87"/>
      <c r="N57" s="87"/>
      <c r="O57" s="87"/>
      <c r="P57" s="87"/>
      <c r="Q57" s="87"/>
      <c r="R57" s="87"/>
      <c r="S57" s="87"/>
      <c r="T57" s="86">
        <f t="shared" si="27"/>
        <v>0</v>
      </c>
      <c r="U57" s="86">
        <f t="shared" si="28"/>
        <v>0</v>
      </c>
      <c r="V57" s="105"/>
      <c r="W57" s="12"/>
      <c r="X57" s="89">
        <f t="shared" si="11"/>
        <v>0</v>
      </c>
      <c r="Y57" s="12"/>
      <c r="Z57" s="89">
        <f t="shared" si="12"/>
        <v>0</v>
      </c>
      <c r="AA57" s="90"/>
      <c r="AB57" s="91" t="str">
        <f t="shared" si="29"/>
        <v/>
      </c>
      <c r="AC57" s="83" t="str">
        <f t="shared" si="30"/>
        <v/>
      </c>
      <c r="AD57" s="83" t="str">
        <f t="shared" si="31"/>
        <v/>
      </c>
      <c r="AE57" s="83" t="str">
        <f t="shared" si="31"/>
        <v/>
      </c>
      <c r="AF57" s="80"/>
      <c r="AG57" s="27"/>
      <c r="AH57" s="27"/>
      <c r="AI57" s="27"/>
      <c r="AJ57" s="86">
        <f t="shared" si="32"/>
        <v>0</v>
      </c>
      <c r="AK57" s="86">
        <f t="shared" si="32"/>
        <v>0</v>
      </c>
      <c r="AL57" s="27"/>
      <c r="AM57" s="27"/>
      <c r="AN57" s="86">
        <f t="shared" si="33"/>
        <v>0</v>
      </c>
      <c r="AO57" s="86">
        <f t="shared" si="33"/>
        <v>0</v>
      </c>
      <c r="AP57" s="27"/>
      <c r="AQ57" s="27"/>
      <c r="AR57" s="86">
        <f t="shared" si="34"/>
        <v>0</v>
      </c>
      <c r="AS57" s="86">
        <f t="shared" si="34"/>
        <v>0</v>
      </c>
      <c r="AT57" s="27"/>
      <c r="AU57" s="94"/>
      <c r="AW57" s="89">
        <f t="shared" si="13"/>
        <v>0</v>
      </c>
      <c r="AX57" s="89">
        <f t="shared" si="14"/>
        <v>0</v>
      </c>
      <c r="AY57" s="89">
        <f t="shared" si="15"/>
        <v>0</v>
      </c>
      <c r="AZ57" s="89">
        <f t="shared" si="16"/>
        <v>0</v>
      </c>
      <c r="BB57" s="96">
        <f t="shared" si="49"/>
        <v>0</v>
      </c>
      <c r="BC57" s="96">
        <f t="shared" si="49"/>
        <v>0</v>
      </c>
      <c r="BD57" s="84" t="str">
        <f t="shared" si="50"/>
        <v/>
      </c>
      <c r="BE57" s="84" t="str">
        <f t="shared" si="50"/>
        <v/>
      </c>
      <c r="BF57" s="105"/>
      <c r="BG57" s="97" t="str">
        <f t="shared" si="19"/>
        <v/>
      </c>
      <c r="BH57" s="80"/>
      <c r="BI57" s="85">
        <f t="shared" si="51"/>
        <v>0</v>
      </c>
      <c r="BJ57" s="85">
        <f t="shared" si="51"/>
        <v>0</v>
      </c>
      <c r="BK57" s="12"/>
      <c r="BL57" s="12"/>
      <c r="BM57" s="98">
        <f t="shared" si="35"/>
        <v>0</v>
      </c>
      <c r="BN57" s="99">
        <f t="shared" si="36"/>
        <v>0</v>
      </c>
      <c r="BO57" s="98">
        <f t="shared" si="37"/>
        <v>0</v>
      </c>
      <c r="BP57" s="99">
        <f t="shared" si="38"/>
        <v>0</v>
      </c>
      <c r="BQ57" s="12"/>
      <c r="BR57" s="12"/>
      <c r="BS57" s="12"/>
      <c r="BT57" s="12"/>
      <c r="BU57" s="98">
        <f t="shared" si="46"/>
        <v>0</v>
      </c>
      <c r="BV57" s="99">
        <f t="shared" si="45"/>
        <v>0</v>
      </c>
      <c r="BW57" s="98">
        <f t="shared" si="47"/>
        <v>0</v>
      </c>
      <c r="BX57" s="99">
        <f t="shared" si="23"/>
        <v>0</v>
      </c>
      <c r="BY57" s="105"/>
      <c r="BZ57" s="85">
        <f t="shared" si="52"/>
        <v>0</v>
      </c>
      <c r="CA57" s="85">
        <f t="shared" si="52"/>
        <v>0</v>
      </c>
      <c r="CB57" s="80"/>
      <c r="CC57" s="105"/>
      <c r="CD57" s="12"/>
      <c r="CE57" s="12"/>
      <c r="CF57" s="98">
        <f t="shared" si="40"/>
        <v>0</v>
      </c>
      <c r="CG57" s="99">
        <f t="shared" si="41"/>
        <v>0</v>
      </c>
      <c r="CH57" s="98">
        <f t="shared" si="42"/>
        <v>0</v>
      </c>
      <c r="CI57" s="99">
        <f t="shared" si="43"/>
        <v>0</v>
      </c>
      <c r="CJ57" s="101"/>
      <c r="CK57" s="101"/>
      <c r="CL57" s="101"/>
      <c r="CQ57" s="108"/>
      <c r="CS57" s="102"/>
      <c r="CT57" s="103"/>
      <c r="CU57" s="82"/>
      <c r="CV57" s="105"/>
      <c r="CW57" s="82"/>
      <c r="CX57" s="82"/>
      <c r="CY57" s="82"/>
      <c r="CZ57" s="82"/>
      <c r="DA57" s="82"/>
      <c r="DB57" s="82"/>
      <c r="DC57" s="8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06"/>
      <c r="DP57" s="80"/>
      <c r="DQ57" s="80"/>
      <c r="DR57" s="110"/>
      <c r="DS57" s="80"/>
      <c r="DT57" s="80"/>
      <c r="DU57" s="80"/>
    </row>
    <row r="58" spans="1:125" ht="12.75" x14ac:dyDescent="0.2">
      <c r="A58" s="80">
        <f t="shared" si="44"/>
        <v>42</v>
      </c>
      <c r="B58" s="81"/>
      <c r="C58" s="82"/>
      <c r="D58" s="83" t="str">
        <f t="shared" si="24"/>
        <v/>
      </c>
      <c r="E58" s="84" t="str">
        <f t="shared" si="25"/>
        <v/>
      </c>
      <c r="F58" s="85">
        <f t="shared" si="26"/>
        <v>0</v>
      </c>
      <c r="G58" s="85">
        <f t="shared" si="9"/>
        <v>0</v>
      </c>
      <c r="H58" s="12"/>
      <c r="I58" s="12"/>
      <c r="J58" s="86">
        <f t="shared" si="48"/>
        <v>0</v>
      </c>
      <c r="K58" s="86">
        <f t="shared" si="48"/>
        <v>0</v>
      </c>
      <c r="L58" s="87"/>
      <c r="M58" s="87"/>
      <c r="N58" s="87"/>
      <c r="O58" s="87"/>
      <c r="P58" s="87"/>
      <c r="Q58" s="87"/>
      <c r="R58" s="87"/>
      <c r="S58" s="87"/>
      <c r="T58" s="86">
        <f t="shared" si="27"/>
        <v>0</v>
      </c>
      <c r="U58" s="86">
        <f t="shared" si="28"/>
        <v>0</v>
      </c>
      <c r="V58" s="105"/>
      <c r="W58" s="12"/>
      <c r="X58" s="89">
        <f t="shared" si="11"/>
        <v>0</v>
      </c>
      <c r="Y58" s="12"/>
      <c r="Z58" s="89">
        <f t="shared" si="12"/>
        <v>0</v>
      </c>
      <c r="AA58" s="90"/>
      <c r="AB58" s="91" t="str">
        <f t="shared" si="29"/>
        <v/>
      </c>
      <c r="AC58" s="83" t="str">
        <f t="shared" si="30"/>
        <v/>
      </c>
      <c r="AD58" s="83" t="str">
        <f t="shared" si="31"/>
        <v/>
      </c>
      <c r="AE58" s="83" t="str">
        <f t="shared" si="31"/>
        <v/>
      </c>
      <c r="AF58" s="80"/>
      <c r="AG58" s="27"/>
      <c r="AH58" s="27"/>
      <c r="AI58" s="27"/>
      <c r="AJ58" s="86">
        <f t="shared" si="32"/>
        <v>0</v>
      </c>
      <c r="AK58" s="86">
        <f t="shared" si="32"/>
        <v>0</v>
      </c>
      <c r="AL58" s="27"/>
      <c r="AM58" s="27"/>
      <c r="AN58" s="86">
        <f t="shared" si="33"/>
        <v>0</v>
      </c>
      <c r="AO58" s="86">
        <f t="shared" si="33"/>
        <v>0</v>
      </c>
      <c r="AP58" s="27"/>
      <c r="AQ58" s="27"/>
      <c r="AR58" s="86">
        <f t="shared" si="34"/>
        <v>0</v>
      </c>
      <c r="AS58" s="86">
        <f t="shared" si="34"/>
        <v>0</v>
      </c>
      <c r="AT58" s="27"/>
      <c r="AU58" s="94"/>
      <c r="AW58" s="89">
        <f t="shared" si="13"/>
        <v>0</v>
      </c>
      <c r="AX58" s="89">
        <f t="shared" si="14"/>
        <v>0</v>
      </c>
      <c r="AY58" s="89">
        <f t="shared" si="15"/>
        <v>0</v>
      </c>
      <c r="AZ58" s="89">
        <f t="shared" si="16"/>
        <v>0</v>
      </c>
      <c r="BB58" s="96">
        <f t="shared" si="49"/>
        <v>0</v>
      </c>
      <c r="BC58" s="96">
        <f t="shared" si="49"/>
        <v>0</v>
      </c>
      <c r="BD58" s="84" t="str">
        <f t="shared" si="50"/>
        <v/>
      </c>
      <c r="BE58" s="84" t="str">
        <f t="shared" si="50"/>
        <v/>
      </c>
      <c r="BF58" s="105"/>
      <c r="BG58" s="97" t="str">
        <f t="shared" si="19"/>
        <v/>
      </c>
      <c r="BH58" s="80"/>
      <c r="BI58" s="85">
        <f t="shared" si="51"/>
        <v>0</v>
      </c>
      <c r="BJ58" s="85">
        <f t="shared" si="51"/>
        <v>0</v>
      </c>
      <c r="BK58" s="12"/>
      <c r="BL58" s="12"/>
      <c r="BM58" s="98">
        <f t="shared" si="35"/>
        <v>0</v>
      </c>
      <c r="BN58" s="99">
        <f t="shared" si="36"/>
        <v>0</v>
      </c>
      <c r="BO58" s="98">
        <f t="shared" si="37"/>
        <v>0</v>
      </c>
      <c r="BP58" s="99">
        <f t="shared" si="38"/>
        <v>0</v>
      </c>
      <c r="BQ58" s="12"/>
      <c r="BR58" s="12"/>
      <c r="BS58" s="12"/>
      <c r="BT58" s="12"/>
      <c r="BU58" s="98">
        <f t="shared" si="46"/>
        <v>0</v>
      </c>
      <c r="BV58" s="99">
        <f t="shared" si="45"/>
        <v>0</v>
      </c>
      <c r="BW58" s="98">
        <f t="shared" si="47"/>
        <v>0</v>
      </c>
      <c r="BX58" s="99">
        <f t="shared" si="23"/>
        <v>0</v>
      </c>
      <c r="BY58" s="105"/>
      <c r="BZ58" s="85">
        <f t="shared" si="52"/>
        <v>0</v>
      </c>
      <c r="CA58" s="85">
        <f t="shared" si="52"/>
        <v>0</v>
      </c>
      <c r="CB58" s="80"/>
      <c r="CC58" s="105"/>
      <c r="CD58" s="12"/>
      <c r="CE58" s="12"/>
      <c r="CF58" s="98">
        <f t="shared" si="40"/>
        <v>0</v>
      </c>
      <c r="CG58" s="99">
        <f t="shared" si="41"/>
        <v>0</v>
      </c>
      <c r="CH58" s="98">
        <f t="shared" si="42"/>
        <v>0</v>
      </c>
      <c r="CI58" s="99">
        <f t="shared" si="43"/>
        <v>0</v>
      </c>
      <c r="CJ58" s="101"/>
      <c r="CK58" s="101"/>
      <c r="CL58" s="101"/>
      <c r="CQ58" s="108"/>
      <c r="CS58" s="102"/>
      <c r="CT58" s="103"/>
      <c r="CU58" s="82"/>
      <c r="CV58" s="105"/>
      <c r="CW58" s="82"/>
      <c r="CX58" s="82"/>
      <c r="CY58" s="82"/>
      <c r="CZ58" s="82"/>
      <c r="DA58" s="82"/>
      <c r="DB58" s="82"/>
      <c r="DC58" s="8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06"/>
      <c r="DP58" s="80"/>
      <c r="DQ58" s="80"/>
      <c r="DR58" s="110"/>
      <c r="DS58" s="80"/>
      <c r="DT58" s="80"/>
      <c r="DU58" s="80"/>
    </row>
    <row r="59" spans="1:125" ht="12.75" x14ac:dyDescent="0.2">
      <c r="A59" s="80">
        <f t="shared" si="44"/>
        <v>43</v>
      </c>
      <c r="B59" s="81"/>
      <c r="C59" s="82"/>
      <c r="D59" s="83" t="str">
        <f t="shared" si="24"/>
        <v/>
      </c>
      <c r="E59" s="84" t="str">
        <f t="shared" si="25"/>
        <v/>
      </c>
      <c r="F59" s="85">
        <f t="shared" si="26"/>
        <v>0</v>
      </c>
      <c r="G59" s="85">
        <f t="shared" si="9"/>
        <v>0</v>
      </c>
      <c r="H59" s="12"/>
      <c r="I59" s="12"/>
      <c r="J59" s="86">
        <f t="shared" si="48"/>
        <v>0</v>
      </c>
      <c r="K59" s="86">
        <f t="shared" si="48"/>
        <v>0</v>
      </c>
      <c r="L59" s="87"/>
      <c r="M59" s="87"/>
      <c r="N59" s="87"/>
      <c r="O59" s="87"/>
      <c r="P59" s="87"/>
      <c r="Q59" s="87"/>
      <c r="R59" s="87"/>
      <c r="S59" s="87"/>
      <c r="T59" s="86">
        <f t="shared" si="27"/>
        <v>0</v>
      </c>
      <c r="U59" s="86">
        <f t="shared" si="28"/>
        <v>0</v>
      </c>
      <c r="V59" s="105"/>
      <c r="W59" s="12"/>
      <c r="X59" s="89">
        <f t="shared" si="11"/>
        <v>0</v>
      </c>
      <c r="Y59" s="12"/>
      <c r="Z59" s="89">
        <f t="shared" si="12"/>
        <v>0</v>
      </c>
      <c r="AA59" s="90"/>
      <c r="AB59" s="91" t="str">
        <f t="shared" si="29"/>
        <v/>
      </c>
      <c r="AC59" s="83" t="str">
        <f t="shared" si="30"/>
        <v/>
      </c>
      <c r="AD59" s="83" t="str">
        <f t="shared" si="31"/>
        <v/>
      </c>
      <c r="AE59" s="83" t="str">
        <f t="shared" si="31"/>
        <v/>
      </c>
      <c r="AF59" s="80"/>
      <c r="AG59" s="27"/>
      <c r="AH59" s="27"/>
      <c r="AI59" s="27"/>
      <c r="AJ59" s="86">
        <f t="shared" si="32"/>
        <v>0</v>
      </c>
      <c r="AK59" s="86">
        <f t="shared" si="32"/>
        <v>0</v>
      </c>
      <c r="AL59" s="27"/>
      <c r="AM59" s="27"/>
      <c r="AN59" s="86">
        <f t="shared" si="33"/>
        <v>0</v>
      </c>
      <c r="AO59" s="86">
        <f t="shared" si="33"/>
        <v>0</v>
      </c>
      <c r="AP59" s="27"/>
      <c r="AQ59" s="27"/>
      <c r="AR59" s="86">
        <f t="shared" si="34"/>
        <v>0</v>
      </c>
      <c r="AS59" s="86">
        <f t="shared" si="34"/>
        <v>0</v>
      </c>
      <c r="AT59" s="27"/>
      <c r="AU59" s="94"/>
      <c r="AW59" s="89">
        <f t="shared" si="13"/>
        <v>0</v>
      </c>
      <c r="AX59" s="89">
        <f t="shared" si="14"/>
        <v>0</v>
      </c>
      <c r="AY59" s="89">
        <f t="shared" si="15"/>
        <v>0</v>
      </c>
      <c r="AZ59" s="89">
        <f t="shared" si="16"/>
        <v>0</v>
      </c>
      <c r="BB59" s="96">
        <f t="shared" si="49"/>
        <v>0</v>
      </c>
      <c r="BC59" s="96">
        <f t="shared" si="49"/>
        <v>0</v>
      </c>
      <c r="BD59" s="84" t="str">
        <f t="shared" si="50"/>
        <v/>
      </c>
      <c r="BE59" s="84" t="str">
        <f t="shared" si="50"/>
        <v/>
      </c>
      <c r="BF59" s="105"/>
      <c r="BG59" s="97" t="str">
        <f t="shared" si="19"/>
        <v/>
      </c>
      <c r="BH59" s="80"/>
      <c r="BI59" s="85">
        <f t="shared" si="51"/>
        <v>0</v>
      </c>
      <c r="BJ59" s="85">
        <f t="shared" si="51"/>
        <v>0</v>
      </c>
      <c r="BK59" s="12"/>
      <c r="BL59" s="12"/>
      <c r="BM59" s="98">
        <f t="shared" si="35"/>
        <v>0</v>
      </c>
      <c r="BN59" s="99">
        <f t="shared" si="36"/>
        <v>0</v>
      </c>
      <c r="BO59" s="98">
        <f t="shared" si="37"/>
        <v>0</v>
      </c>
      <c r="BP59" s="99">
        <f t="shared" si="38"/>
        <v>0</v>
      </c>
      <c r="BQ59" s="12"/>
      <c r="BR59" s="12"/>
      <c r="BS59" s="12"/>
      <c r="BT59" s="12"/>
      <c r="BU59" s="98">
        <f t="shared" si="46"/>
        <v>0</v>
      </c>
      <c r="BV59" s="99">
        <f t="shared" si="45"/>
        <v>0</v>
      </c>
      <c r="BW59" s="98">
        <f t="shared" si="47"/>
        <v>0</v>
      </c>
      <c r="BX59" s="99">
        <f t="shared" si="23"/>
        <v>0</v>
      </c>
      <c r="BY59" s="105"/>
      <c r="BZ59" s="85">
        <f t="shared" si="52"/>
        <v>0</v>
      </c>
      <c r="CA59" s="85">
        <f t="shared" si="52"/>
        <v>0</v>
      </c>
      <c r="CB59" s="80"/>
      <c r="CC59" s="105"/>
      <c r="CD59" s="12"/>
      <c r="CE59" s="12"/>
      <c r="CF59" s="98">
        <f t="shared" si="40"/>
        <v>0</v>
      </c>
      <c r="CG59" s="99">
        <f t="shared" si="41"/>
        <v>0</v>
      </c>
      <c r="CH59" s="98">
        <f t="shared" si="42"/>
        <v>0</v>
      </c>
      <c r="CI59" s="99">
        <f t="shared" si="43"/>
        <v>0</v>
      </c>
      <c r="CJ59" s="101"/>
      <c r="CK59" s="101"/>
      <c r="CL59" s="101"/>
      <c r="CQ59" s="108"/>
      <c r="CS59" s="102"/>
      <c r="CT59" s="103"/>
      <c r="CU59" s="82"/>
      <c r="CV59" s="105"/>
      <c r="CW59" s="82"/>
      <c r="CX59" s="82"/>
      <c r="CY59" s="82"/>
      <c r="CZ59" s="82"/>
      <c r="DA59" s="82"/>
      <c r="DB59" s="82"/>
      <c r="DC59" s="8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06"/>
      <c r="DP59" s="80"/>
      <c r="DQ59" s="80"/>
      <c r="DR59" s="110"/>
      <c r="DS59" s="80"/>
      <c r="DT59" s="80"/>
      <c r="DU59" s="80"/>
    </row>
    <row r="60" spans="1:125" ht="12.75" x14ac:dyDescent="0.2">
      <c r="A60" s="80">
        <f t="shared" si="44"/>
        <v>44</v>
      </c>
      <c r="B60" s="81"/>
      <c r="C60" s="82"/>
      <c r="D60" s="83" t="str">
        <f t="shared" si="24"/>
        <v/>
      </c>
      <c r="E60" s="84" t="str">
        <f t="shared" si="25"/>
        <v/>
      </c>
      <c r="F60" s="85">
        <f t="shared" si="26"/>
        <v>0</v>
      </c>
      <c r="G60" s="85">
        <f t="shared" si="9"/>
        <v>0</v>
      </c>
      <c r="H60" s="12"/>
      <c r="I60" s="12"/>
      <c r="J60" s="86">
        <f t="shared" si="48"/>
        <v>0</v>
      </c>
      <c r="K60" s="86">
        <f t="shared" si="48"/>
        <v>0</v>
      </c>
      <c r="L60" s="87"/>
      <c r="M60" s="87"/>
      <c r="N60" s="87"/>
      <c r="O60" s="87"/>
      <c r="P60" s="87"/>
      <c r="Q60" s="87"/>
      <c r="R60" s="87"/>
      <c r="S60" s="87"/>
      <c r="T60" s="86">
        <f t="shared" si="27"/>
        <v>0</v>
      </c>
      <c r="U60" s="86">
        <f t="shared" si="28"/>
        <v>0</v>
      </c>
      <c r="V60" s="105"/>
      <c r="W60" s="12"/>
      <c r="X60" s="89">
        <f t="shared" si="11"/>
        <v>0</v>
      </c>
      <c r="Y60" s="12"/>
      <c r="Z60" s="89">
        <f t="shared" si="12"/>
        <v>0</v>
      </c>
      <c r="AA60" s="90"/>
      <c r="AB60" s="91" t="str">
        <f t="shared" si="29"/>
        <v/>
      </c>
      <c r="AC60" s="83" t="str">
        <f t="shared" si="30"/>
        <v/>
      </c>
      <c r="AD60" s="83" t="str">
        <f t="shared" si="31"/>
        <v/>
      </c>
      <c r="AE60" s="83" t="str">
        <f t="shared" si="31"/>
        <v/>
      </c>
      <c r="AF60" s="80"/>
      <c r="AG60" s="27"/>
      <c r="AH60" s="27"/>
      <c r="AI60" s="27"/>
      <c r="AJ60" s="86">
        <f t="shared" si="32"/>
        <v>0</v>
      </c>
      <c r="AK60" s="86">
        <f t="shared" si="32"/>
        <v>0</v>
      </c>
      <c r="AL60" s="27"/>
      <c r="AM60" s="27"/>
      <c r="AN60" s="86">
        <f t="shared" si="33"/>
        <v>0</v>
      </c>
      <c r="AO60" s="86">
        <f t="shared" si="33"/>
        <v>0</v>
      </c>
      <c r="AP60" s="27"/>
      <c r="AQ60" s="27"/>
      <c r="AR60" s="86">
        <f t="shared" si="34"/>
        <v>0</v>
      </c>
      <c r="AS60" s="86">
        <f t="shared" si="34"/>
        <v>0</v>
      </c>
      <c r="AT60" s="27"/>
      <c r="AU60" s="94"/>
      <c r="AW60" s="89">
        <f t="shared" si="13"/>
        <v>0</v>
      </c>
      <c r="AX60" s="89">
        <f t="shared" si="14"/>
        <v>0</v>
      </c>
      <c r="AY60" s="89">
        <f t="shared" si="15"/>
        <v>0</v>
      </c>
      <c r="AZ60" s="89">
        <f t="shared" si="16"/>
        <v>0</v>
      </c>
      <c r="BB60" s="96">
        <f t="shared" si="49"/>
        <v>0</v>
      </c>
      <c r="BC60" s="96">
        <f t="shared" si="49"/>
        <v>0</v>
      </c>
      <c r="BD60" s="84" t="str">
        <f t="shared" si="50"/>
        <v/>
      </c>
      <c r="BE60" s="84" t="str">
        <f t="shared" si="50"/>
        <v/>
      </c>
      <c r="BF60" s="105"/>
      <c r="BG60" s="97" t="str">
        <f t="shared" si="19"/>
        <v/>
      </c>
      <c r="BH60" s="80"/>
      <c r="BI60" s="85">
        <f t="shared" si="51"/>
        <v>0</v>
      </c>
      <c r="BJ60" s="85">
        <f t="shared" si="51"/>
        <v>0</v>
      </c>
      <c r="BK60" s="12"/>
      <c r="BL60" s="12"/>
      <c r="BM60" s="98">
        <f t="shared" si="35"/>
        <v>0</v>
      </c>
      <c r="BN60" s="99">
        <f t="shared" si="36"/>
        <v>0</v>
      </c>
      <c r="BO60" s="98">
        <f t="shared" si="37"/>
        <v>0</v>
      </c>
      <c r="BP60" s="99">
        <f t="shared" si="38"/>
        <v>0</v>
      </c>
      <c r="BQ60" s="12"/>
      <c r="BR60" s="12"/>
      <c r="BS60" s="12"/>
      <c r="BT60" s="12"/>
      <c r="BU60" s="98">
        <f t="shared" si="46"/>
        <v>0</v>
      </c>
      <c r="BV60" s="99">
        <f t="shared" si="45"/>
        <v>0</v>
      </c>
      <c r="BW60" s="98">
        <f t="shared" si="47"/>
        <v>0</v>
      </c>
      <c r="BX60" s="99">
        <f t="shared" si="23"/>
        <v>0</v>
      </c>
      <c r="BY60" s="105"/>
      <c r="BZ60" s="85">
        <f t="shared" si="52"/>
        <v>0</v>
      </c>
      <c r="CA60" s="85">
        <f t="shared" si="52"/>
        <v>0</v>
      </c>
      <c r="CB60" s="80"/>
      <c r="CC60" s="105"/>
      <c r="CD60" s="12"/>
      <c r="CE60" s="12"/>
      <c r="CF60" s="98">
        <f t="shared" si="40"/>
        <v>0</v>
      </c>
      <c r="CG60" s="99">
        <f t="shared" si="41"/>
        <v>0</v>
      </c>
      <c r="CH60" s="98">
        <f t="shared" si="42"/>
        <v>0</v>
      </c>
      <c r="CI60" s="99">
        <f t="shared" si="43"/>
        <v>0</v>
      </c>
      <c r="CJ60" s="101"/>
      <c r="CK60" s="101"/>
      <c r="CL60" s="101"/>
      <c r="CQ60" s="108"/>
      <c r="CS60" s="102"/>
      <c r="CT60" s="103"/>
      <c r="CU60" s="82"/>
      <c r="CV60" s="105"/>
      <c r="CW60" s="82"/>
      <c r="CX60" s="82"/>
      <c r="CY60" s="82"/>
      <c r="CZ60" s="82"/>
      <c r="DA60" s="82"/>
      <c r="DB60" s="82"/>
      <c r="DC60" s="8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06"/>
      <c r="DP60" s="80"/>
      <c r="DQ60" s="80"/>
      <c r="DR60" s="110"/>
      <c r="DS60" s="80"/>
      <c r="DT60" s="80"/>
      <c r="DU60" s="80"/>
    </row>
    <row r="61" spans="1:125" ht="12.75" x14ac:dyDescent="0.2">
      <c r="A61" s="80">
        <f t="shared" si="44"/>
        <v>45</v>
      </c>
      <c r="B61" s="81"/>
      <c r="C61" s="82"/>
      <c r="D61" s="83" t="str">
        <f t="shared" si="24"/>
        <v/>
      </c>
      <c r="E61" s="84" t="str">
        <f t="shared" si="25"/>
        <v/>
      </c>
      <c r="F61" s="85">
        <f t="shared" si="26"/>
        <v>0</v>
      </c>
      <c r="G61" s="85">
        <f t="shared" si="9"/>
        <v>0</v>
      </c>
      <c r="H61" s="12"/>
      <c r="I61" s="12"/>
      <c r="J61" s="86">
        <f t="shared" si="48"/>
        <v>0</v>
      </c>
      <c r="K61" s="86">
        <f t="shared" si="48"/>
        <v>0</v>
      </c>
      <c r="L61" s="87"/>
      <c r="M61" s="87"/>
      <c r="N61" s="87"/>
      <c r="O61" s="87"/>
      <c r="P61" s="87"/>
      <c r="Q61" s="87"/>
      <c r="R61" s="87"/>
      <c r="S61" s="87"/>
      <c r="T61" s="86">
        <f t="shared" si="27"/>
        <v>0</v>
      </c>
      <c r="U61" s="86">
        <f t="shared" si="28"/>
        <v>0</v>
      </c>
      <c r="V61" s="105"/>
      <c r="W61" s="12"/>
      <c r="X61" s="89">
        <f t="shared" si="11"/>
        <v>0</v>
      </c>
      <c r="Y61" s="12"/>
      <c r="Z61" s="89">
        <f t="shared" si="12"/>
        <v>0</v>
      </c>
      <c r="AA61" s="90"/>
      <c r="AB61" s="91" t="str">
        <f t="shared" si="29"/>
        <v/>
      </c>
      <c r="AC61" s="83" t="str">
        <f t="shared" si="30"/>
        <v/>
      </c>
      <c r="AD61" s="83" t="str">
        <f t="shared" si="31"/>
        <v/>
      </c>
      <c r="AE61" s="83" t="str">
        <f t="shared" si="31"/>
        <v/>
      </c>
      <c r="AF61" s="80"/>
      <c r="AG61" s="27"/>
      <c r="AH61" s="27"/>
      <c r="AI61" s="27"/>
      <c r="AJ61" s="86">
        <f t="shared" si="32"/>
        <v>0</v>
      </c>
      <c r="AK61" s="86">
        <f t="shared" si="32"/>
        <v>0</v>
      </c>
      <c r="AL61" s="27"/>
      <c r="AM61" s="27"/>
      <c r="AN61" s="86">
        <f t="shared" si="33"/>
        <v>0</v>
      </c>
      <c r="AO61" s="86">
        <f t="shared" si="33"/>
        <v>0</v>
      </c>
      <c r="AP61" s="27"/>
      <c r="AQ61" s="27"/>
      <c r="AR61" s="86">
        <f t="shared" si="34"/>
        <v>0</v>
      </c>
      <c r="AS61" s="86">
        <f t="shared" si="34"/>
        <v>0</v>
      </c>
      <c r="AT61" s="27"/>
      <c r="AU61" s="94"/>
      <c r="AW61" s="89">
        <f t="shared" si="13"/>
        <v>0</v>
      </c>
      <c r="AX61" s="89">
        <f t="shared" si="14"/>
        <v>0</v>
      </c>
      <c r="AY61" s="89">
        <f t="shared" si="15"/>
        <v>0</v>
      </c>
      <c r="AZ61" s="89">
        <f t="shared" si="16"/>
        <v>0</v>
      </c>
      <c r="BB61" s="96">
        <f t="shared" si="49"/>
        <v>0</v>
      </c>
      <c r="BC61" s="96">
        <f t="shared" si="49"/>
        <v>0</v>
      </c>
      <c r="BD61" s="84" t="str">
        <f t="shared" si="50"/>
        <v/>
      </c>
      <c r="BE61" s="84" t="str">
        <f t="shared" si="50"/>
        <v/>
      </c>
      <c r="BF61" s="105"/>
      <c r="BG61" s="97" t="str">
        <f t="shared" si="19"/>
        <v/>
      </c>
      <c r="BH61" s="80"/>
      <c r="BI61" s="85">
        <f t="shared" si="51"/>
        <v>0</v>
      </c>
      <c r="BJ61" s="85">
        <f t="shared" si="51"/>
        <v>0</v>
      </c>
      <c r="BK61" s="12"/>
      <c r="BL61" s="12"/>
      <c r="BM61" s="98">
        <f t="shared" si="35"/>
        <v>0</v>
      </c>
      <c r="BN61" s="99">
        <f t="shared" si="36"/>
        <v>0</v>
      </c>
      <c r="BO61" s="98">
        <f t="shared" si="37"/>
        <v>0</v>
      </c>
      <c r="BP61" s="99">
        <f t="shared" si="38"/>
        <v>0</v>
      </c>
      <c r="BQ61" s="12"/>
      <c r="BR61" s="12"/>
      <c r="BS61" s="12"/>
      <c r="BT61" s="12"/>
      <c r="BU61" s="98">
        <f t="shared" si="46"/>
        <v>0</v>
      </c>
      <c r="BV61" s="99">
        <f t="shared" si="45"/>
        <v>0</v>
      </c>
      <c r="BW61" s="98">
        <f t="shared" si="47"/>
        <v>0</v>
      </c>
      <c r="BX61" s="99">
        <f t="shared" si="23"/>
        <v>0</v>
      </c>
      <c r="BY61" s="105"/>
      <c r="BZ61" s="85">
        <f t="shared" si="52"/>
        <v>0</v>
      </c>
      <c r="CA61" s="85">
        <f t="shared" si="52"/>
        <v>0</v>
      </c>
      <c r="CB61" s="80"/>
      <c r="CC61" s="105"/>
      <c r="CD61" s="12"/>
      <c r="CE61" s="12"/>
      <c r="CF61" s="98">
        <f t="shared" si="40"/>
        <v>0</v>
      </c>
      <c r="CG61" s="99">
        <f t="shared" si="41"/>
        <v>0</v>
      </c>
      <c r="CH61" s="98">
        <f t="shared" si="42"/>
        <v>0</v>
      </c>
      <c r="CI61" s="99">
        <f t="shared" si="43"/>
        <v>0</v>
      </c>
      <c r="CJ61" s="101"/>
      <c r="CK61" s="101"/>
      <c r="CL61" s="101"/>
      <c r="CQ61" s="108"/>
      <c r="CS61" s="102"/>
      <c r="CT61" s="103"/>
      <c r="CU61" s="82"/>
      <c r="CV61" s="105"/>
      <c r="CW61" s="82"/>
      <c r="CX61" s="82"/>
      <c r="CY61" s="82"/>
      <c r="CZ61" s="82"/>
      <c r="DA61" s="82"/>
      <c r="DB61" s="82"/>
      <c r="DC61" s="8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06"/>
      <c r="DP61" s="80"/>
      <c r="DQ61" s="80"/>
      <c r="DR61" s="110"/>
      <c r="DS61" s="80"/>
      <c r="DT61" s="80"/>
      <c r="DU61" s="80"/>
    </row>
    <row r="62" spans="1:125" ht="12.75" x14ac:dyDescent="0.2">
      <c r="A62" s="80">
        <f t="shared" si="44"/>
        <v>46</v>
      </c>
      <c r="B62" s="81"/>
      <c r="C62" s="82"/>
      <c r="D62" s="83" t="str">
        <f t="shared" si="24"/>
        <v/>
      </c>
      <c r="E62" s="84" t="str">
        <f t="shared" si="25"/>
        <v/>
      </c>
      <c r="F62" s="85">
        <f t="shared" si="26"/>
        <v>0</v>
      </c>
      <c r="G62" s="85">
        <f t="shared" si="9"/>
        <v>0</v>
      </c>
      <c r="H62" s="12"/>
      <c r="I62" s="12"/>
      <c r="J62" s="86">
        <f t="shared" si="48"/>
        <v>0</v>
      </c>
      <c r="K62" s="86">
        <f t="shared" si="48"/>
        <v>0</v>
      </c>
      <c r="L62" s="87"/>
      <c r="M62" s="87"/>
      <c r="N62" s="87"/>
      <c r="O62" s="87"/>
      <c r="P62" s="87"/>
      <c r="Q62" s="87"/>
      <c r="R62" s="87"/>
      <c r="S62" s="87"/>
      <c r="T62" s="86">
        <f t="shared" si="27"/>
        <v>0</v>
      </c>
      <c r="U62" s="86">
        <f t="shared" si="28"/>
        <v>0</v>
      </c>
      <c r="V62" s="105"/>
      <c r="W62" s="12"/>
      <c r="X62" s="89">
        <f t="shared" si="11"/>
        <v>0</v>
      </c>
      <c r="Y62" s="12"/>
      <c r="Z62" s="89">
        <f t="shared" si="12"/>
        <v>0</v>
      </c>
      <c r="AA62" s="90"/>
      <c r="AB62" s="91" t="str">
        <f t="shared" si="29"/>
        <v/>
      </c>
      <c r="AC62" s="83" t="str">
        <f t="shared" si="30"/>
        <v/>
      </c>
      <c r="AD62" s="83" t="str">
        <f t="shared" si="31"/>
        <v/>
      </c>
      <c r="AE62" s="83" t="str">
        <f t="shared" si="31"/>
        <v/>
      </c>
      <c r="AF62" s="80"/>
      <c r="AG62" s="27"/>
      <c r="AH62" s="27"/>
      <c r="AI62" s="27"/>
      <c r="AJ62" s="86">
        <f t="shared" si="32"/>
        <v>0</v>
      </c>
      <c r="AK62" s="86">
        <f t="shared" si="32"/>
        <v>0</v>
      </c>
      <c r="AL62" s="27"/>
      <c r="AM62" s="27"/>
      <c r="AN62" s="86">
        <f t="shared" si="33"/>
        <v>0</v>
      </c>
      <c r="AO62" s="86">
        <f t="shared" si="33"/>
        <v>0</v>
      </c>
      <c r="AP62" s="27"/>
      <c r="AQ62" s="27"/>
      <c r="AR62" s="86">
        <f t="shared" si="34"/>
        <v>0</v>
      </c>
      <c r="AS62" s="86">
        <f t="shared" si="34"/>
        <v>0</v>
      </c>
      <c r="AT62" s="27"/>
      <c r="AU62" s="94"/>
      <c r="AW62" s="89">
        <f t="shared" si="13"/>
        <v>0</v>
      </c>
      <c r="AX62" s="89">
        <f t="shared" si="14"/>
        <v>0</v>
      </c>
      <c r="AY62" s="89">
        <f t="shared" si="15"/>
        <v>0</v>
      </c>
      <c r="AZ62" s="89">
        <f t="shared" si="16"/>
        <v>0</v>
      </c>
      <c r="BB62" s="96">
        <f t="shared" si="49"/>
        <v>0</v>
      </c>
      <c r="BC62" s="96">
        <f t="shared" si="49"/>
        <v>0</v>
      </c>
      <c r="BD62" s="84" t="str">
        <f t="shared" si="50"/>
        <v/>
      </c>
      <c r="BE62" s="84" t="str">
        <f t="shared" si="50"/>
        <v/>
      </c>
      <c r="BF62" s="105"/>
      <c r="BG62" s="97" t="str">
        <f t="shared" si="19"/>
        <v/>
      </c>
      <c r="BH62" s="80"/>
      <c r="BI62" s="85">
        <f t="shared" si="51"/>
        <v>0</v>
      </c>
      <c r="BJ62" s="85">
        <f t="shared" si="51"/>
        <v>0</v>
      </c>
      <c r="BK62" s="12"/>
      <c r="BL62" s="12"/>
      <c r="BM62" s="98">
        <f t="shared" si="35"/>
        <v>0</v>
      </c>
      <c r="BN62" s="99">
        <f t="shared" si="36"/>
        <v>0</v>
      </c>
      <c r="BO62" s="98">
        <f t="shared" si="37"/>
        <v>0</v>
      </c>
      <c r="BP62" s="99">
        <f t="shared" si="38"/>
        <v>0</v>
      </c>
      <c r="BQ62" s="12"/>
      <c r="BR62" s="12"/>
      <c r="BS62" s="12"/>
      <c r="BT62" s="12"/>
      <c r="BU62" s="98">
        <f t="shared" si="46"/>
        <v>0</v>
      </c>
      <c r="BV62" s="99">
        <f t="shared" si="45"/>
        <v>0</v>
      </c>
      <c r="BW62" s="98">
        <f t="shared" si="47"/>
        <v>0</v>
      </c>
      <c r="BX62" s="99">
        <f t="shared" si="23"/>
        <v>0</v>
      </c>
      <c r="BY62" s="105"/>
      <c r="BZ62" s="85">
        <f t="shared" si="52"/>
        <v>0</v>
      </c>
      <c r="CA62" s="85">
        <f t="shared" si="52"/>
        <v>0</v>
      </c>
      <c r="CB62" s="80"/>
      <c r="CC62" s="105"/>
      <c r="CD62" s="12"/>
      <c r="CE62" s="12"/>
      <c r="CF62" s="98">
        <f t="shared" si="40"/>
        <v>0</v>
      </c>
      <c r="CG62" s="99">
        <f t="shared" si="41"/>
        <v>0</v>
      </c>
      <c r="CH62" s="98">
        <f t="shared" si="42"/>
        <v>0</v>
      </c>
      <c r="CI62" s="99">
        <f t="shared" si="43"/>
        <v>0</v>
      </c>
      <c r="CJ62" s="101"/>
      <c r="CK62" s="101"/>
      <c r="CL62" s="101"/>
      <c r="CQ62" s="108"/>
      <c r="CS62" s="102"/>
      <c r="CT62" s="103"/>
      <c r="CU62" s="82"/>
      <c r="CV62" s="105"/>
      <c r="CW62" s="82"/>
      <c r="CX62" s="82"/>
      <c r="CY62" s="82"/>
      <c r="CZ62" s="82"/>
      <c r="DA62" s="82"/>
      <c r="DB62" s="82"/>
      <c r="DC62" s="8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06"/>
      <c r="DP62" s="80"/>
      <c r="DQ62" s="80"/>
      <c r="DR62" s="110"/>
      <c r="DS62" s="80"/>
      <c r="DT62" s="80"/>
      <c r="DU62" s="80"/>
    </row>
    <row r="63" spans="1:125" ht="12.75" x14ac:dyDescent="0.2">
      <c r="A63" s="80">
        <f t="shared" si="44"/>
        <v>47</v>
      </c>
      <c r="B63" s="81"/>
      <c r="C63" s="82"/>
      <c r="D63" s="83" t="str">
        <f t="shared" si="24"/>
        <v/>
      </c>
      <c r="E63" s="84" t="str">
        <f t="shared" si="25"/>
        <v/>
      </c>
      <c r="F63" s="85">
        <f t="shared" si="26"/>
        <v>0</v>
      </c>
      <c r="G63" s="85">
        <f t="shared" si="9"/>
        <v>0</v>
      </c>
      <c r="H63" s="12"/>
      <c r="I63" s="12"/>
      <c r="J63" s="86">
        <f t="shared" si="48"/>
        <v>0</v>
      </c>
      <c r="K63" s="86">
        <f t="shared" si="48"/>
        <v>0</v>
      </c>
      <c r="L63" s="87"/>
      <c r="M63" s="87"/>
      <c r="N63" s="87"/>
      <c r="O63" s="87"/>
      <c r="P63" s="87"/>
      <c r="Q63" s="87"/>
      <c r="R63" s="87"/>
      <c r="S63" s="87"/>
      <c r="T63" s="86">
        <f t="shared" si="27"/>
        <v>0</v>
      </c>
      <c r="U63" s="86">
        <f t="shared" si="28"/>
        <v>0</v>
      </c>
      <c r="V63" s="105"/>
      <c r="W63" s="12"/>
      <c r="X63" s="89">
        <f t="shared" si="11"/>
        <v>0</v>
      </c>
      <c r="Y63" s="12"/>
      <c r="Z63" s="89">
        <f t="shared" si="12"/>
        <v>0</v>
      </c>
      <c r="AA63" s="90"/>
      <c r="AB63" s="91" t="str">
        <f t="shared" si="29"/>
        <v/>
      </c>
      <c r="AC63" s="83" t="str">
        <f t="shared" si="30"/>
        <v/>
      </c>
      <c r="AD63" s="83" t="str">
        <f t="shared" si="31"/>
        <v/>
      </c>
      <c r="AE63" s="83" t="str">
        <f t="shared" si="31"/>
        <v/>
      </c>
      <c r="AF63" s="80"/>
      <c r="AG63" s="27"/>
      <c r="AH63" s="27"/>
      <c r="AI63" s="27"/>
      <c r="AJ63" s="86">
        <f t="shared" si="32"/>
        <v>0</v>
      </c>
      <c r="AK63" s="86">
        <f t="shared" si="32"/>
        <v>0</v>
      </c>
      <c r="AL63" s="27"/>
      <c r="AM63" s="27"/>
      <c r="AN63" s="86">
        <f t="shared" si="33"/>
        <v>0</v>
      </c>
      <c r="AO63" s="86">
        <f t="shared" si="33"/>
        <v>0</v>
      </c>
      <c r="AP63" s="27"/>
      <c r="AQ63" s="27"/>
      <c r="AR63" s="86">
        <f t="shared" si="34"/>
        <v>0</v>
      </c>
      <c r="AS63" s="86">
        <f t="shared" si="34"/>
        <v>0</v>
      </c>
      <c r="AT63" s="27"/>
      <c r="AU63" s="94"/>
      <c r="AW63" s="89">
        <f t="shared" si="13"/>
        <v>0</v>
      </c>
      <c r="AX63" s="89">
        <f t="shared" si="14"/>
        <v>0</v>
      </c>
      <c r="AY63" s="89">
        <f t="shared" si="15"/>
        <v>0</v>
      </c>
      <c r="AZ63" s="89">
        <f t="shared" si="16"/>
        <v>0</v>
      </c>
      <c r="BB63" s="96">
        <f t="shared" si="49"/>
        <v>0</v>
      </c>
      <c r="BC63" s="96">
        <f t="shared" si="49"/>
        <v>0</v>
      </c>
      <c r="BD63" s="84" t="str">
        <f t="shared" si="50"/>
        <v/>
      </c>
      <c r="BE63" s="84" t="str">
        <f t="shared" si="50"/>
        <v/>
      </c>
      <c r="BF63" s="105"/>
      <c r="BG63" s="97" t="str">
        <f t="shared" si="19"/>
        <v/>
      </c>
      <c r="BH63" s="80"/>
      <c r="BI63" s="85">
        <f t="shared" si="51"/>
        <v>0</v>
      </c>
      <c r="BJ63" s="85">
        <f t="shared" si="51"/>
        <v>0</v>
      </c>
      <c r="BK63" s="12"/>
      <c r="BL63" s="12"/>
      <c r="BM63" s="98">
        <f t="shared" si="35"/>
        <v>0</v>
      </c>
      <c r="BN63" s="99">
        <f t="shared" si="36"/>
        <v>0</v>
      </c>
      <c r="BO63" s="98">
        <f t="shared" si="37"/>
        <v>0</v>
      </c>
      <c r="BP63" s="99">
        <f t="shared" si="38"/>
        <v>0</v>
      </c>
      <c r="BQ63" s="12"/>
      <c r="BR63" s="12"/>
      <c r="BS63" s="12"/>
      <c r="BT63" s="12"/>
      <c r="BU63" s="98">
        <f t="shared" si="46"/>
        <v>0</v>
      </c>
      <c r="BV63" s="99">
        <f t="shared" si="45"/>
        <v>0</v>
      </c>
      <c r="BW63" s="98">
        <f t="shared" si="47"/>
        <v>0</v>
      </c>
      <c r="BX63" s="99">
        <f t="shared" si="23"/>
        <v>0</v>
      </c>
      <c r="BY63" s="105"/>
      <c r="BZ63" s="85">
        <f t="shared" si="52"/>
        <v>0</v>
      </c>
      <c r="CA63" s="85">
        <f t="shared" si="52"/>
        <v>0</v>
      </c>
      <c r="CB63" s="80"/>
      <c r="CC63" s="105"/>
      <c r="CD63" s="12"/>
      <c r="CE63" s="12"/>
      <c r="CF63" s="98">
        <f t="shared" si="40"/>
        <v>0</v>
      </c>
      <c r="CG63" s="99">
        <f t="shared" si="41"/>
        <v>0</v>
      </c>
      <c r="CH63" s="98">
        <f t="shared" si="42"/>
        <v>0</v>
      </c>
      <c r="CI63" s="99">
        <f t="shared" si="43"/>
        <v>0</v>
      </c>
      <c r="CJ63" s="101"/>
      <c r="CK63" s="101"/>
      <c r="CL63" s="101"/>
      <c r="CQ63" s="108"/>
      <c r="CS63" s="102"/>
      <c r="CT63" s="103"/>
      <c r="CU63" s="82"/>
      <c r="CV63" s="105"/>
      <c r="CW63" s="82"/>
      <c r="CX63" s="82"/>
      <c r="CY63" s="82"/>
      <c r="CZ63" s="82"/>
      <c r="DA63" s="82"/>
      <c r="DB63" s="82"/>
      <c r="DC63" s="8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06"/>
      <c r="DP63" s="80"/>
      <c r="DQ63" s="80"/>
      <c r="DR63" s="110"/>
      <c r="DS63" s="80"/>
      <c r="DT63" s="80"/>
      <c r="DU63" s="80"/>
    </row>
    <row r="64" spans="1:125" ht="12.75" x14ac:dyDescent="0.2">
      <c r="A64" s="80">
        <f t="shared" si="44"/>
        <v>48</v>
      </c>
      <c r="B64" s="81"/>
      <c r="C64" s="82"/>
      <c r="D64" s="83" t="str">
        <f t="shared" si="24"/>
        <v/>
      </c>
      <c r="E64" s="84" t="str">
        <f t="shared" si="25"/>
        <v/>
      </c>
      <c r="F64" s="85">
        <f t="shared" si="26"/>
        <v>0</v>
      </c>
      <c r="G64" s="85">
        <f t="shared" si="9"/>
        <v>0</v>
      </c>
      <c r="H64" s="12"/>
      <c r="I64" s="12"/>
      <c r="J64" s="86">
        <f t="shared" si="48"/>
        <v>0</v>
      </c>
      <c r="K64" s="86">
        <f t="shared" si="48"/>
        <v>0</v>
      </c>
      <c r="L64" s="87"/>
      <c r="M64" s="87"/>
      <c r="N64" s="87"/>
      <c r="O64" s="87"/>
      <c r="P64" s="87"/>
      <c r="Q64" s="87"/>
      <c r="R64" s="87"/>
      <c r="S64" s="87"/>
      <c r="T64" s="86">
        <f t="shared" si="27"/>
        <v>0</v>
      </c>
      <c r="U64" s="86">
        <f t="shared" si="28"/>
        <v>0</v>
      </c>
      <c r="V64" s="105"/>
      <c r="W64" s="12"/>
      <c r="X64" s="89">
        <f t="shared" si="11"/>
        <v>0</v>
      </c>
      <c r="Y64" s="12"/>
      <c r="Z64" s="89">
        <f t="shared" si="12"/>
        <v>0</v>
      </c>
      <c r="AA64" s="90"/>
      <c r="AB64" s="91" t="str">
        <f t="shared" si="29"/>
        <v/>
      </c>
      <c r="AC64" s="83" t="str">
        <f t="shared" si="30"/>
        <v/>
      </c>
      <c r="AD64" s="83" t="str">
        <f t="shared" si="31"/>
        <v/>
      </c>
      <c r="AE64" s="83" t="str">
        <f t="shared" si="31"/>
        <v/>
      </c>
      <c r="AF64" s="80"/>
      <c r="AG64" s="27"/>
      <c r="AH64" s="27"/>
      <c r="AI64" s="27"/>
      <c r="AJ64" s="86">
        <f t="shared" si="32"/>
        <v>0</v>
      </c>
      <c r="AK64" s="86">
        <f t="shared" si="32"/>
        <v>0</v>
      </c>
      <c r="AL64" s="27"/>
      <c r="AM64" s="27"/>
      <c r="AN64" s="86">
        <f t="shared" si="33"/>
        <v>0</v>
      </c>
      <c r="AO64" s="86">
        <f t="shared" si="33"/>
        <v>0</v>
      </c>
      <c r="AP64" s="27"/>
      <c r="AQ64" s="27"/>
      <c r="AR64" s="86">
        <f t="shared" si="34"/>
        <v>0</v>
      </c>
      <c r="AS64" s="86">
        <f t="shared" si="34"/>
        <v>0</v>
      </c>
      <c r="AT64" s="27"/>
      <c r="AU64" s="94"/>
      <c r="AW64" s="89">
        <f t="shared" si="13"/>
        <v>0</v>
      </c>
      <c r="AX64" s="89">
        <f t="shared" si="14"/>
        <v>0</v>
      </c>
      <c r="AY64" s="89">
        <f t="shared" si="15"/>
        <v>0</v>
      </c>
      <c r="AZ64" s="89">
        <f t="shared" si="16"/>
        <v>0</v>
      </c>
      <c r="BB64" s="96">
        <f t="shared" si="49"/>
        <v>0</v>
      </c>
      <c r="BC64" s="96">
        <f t="shared" si="49"/>
        <v>0</v>
      </c>
      <c r="BD64" s="84" t="str">
        <f t="shared" si="50"/>
        <v/>
      </c>
      <c r="BE64" s="84" t="str">
        <f t="shared" si="50"/>
        <v/>
      </c>
      <c r="BF64" s="105"/>
      <c r="BG64" s="97" t="str">
        <f t="shared" si="19"/>
        <v/>
      </c>
      <c r="BH64" s="80"/>
      <c r="BI64" s="85">
        <f t="shared" si="51"/>
        <v>0</v>
      </c>
      <c r="BJ64" s="85">
        <f t="shared" si="51"/>
        <v>0</v>
      </c>
      <c r="BK64" s="12"/>
      <c r="BL64" s="12"/>
      <c r="BM64" s="98">
        <f t="shared" si="35"/>
        <v>0</v>
      </c>
      <c r="BN64" s="99">
        <f t="shared" si="36"/>
        <v>0</v>
      </c>
      <c r="BO64" s="98">
        <f t="shared" si="37"/>
        <v>0</v>
      </c>
      <c r="BP64" s="99">
        <f t="shared" si="38"/>
        <v>0</v>
      </c>
      <c r="BQ64" s="12"/>
      <c r="BR64" s="12"/>
      <c r="BS64" s="12"/>
      <c r="BT64" s="12"/>
      <c r="BU64" s="98">
        <f t="shared" si="46"/>
        <v>0</v>
      </c>
      <c r="BV64" s="99">
        <f t="shared" si="45"/>
        <v>0</v>
      </c>
      <c r="BW64" s="98">
        <f t="shared" si="47"/>
        <v>0</v>
      </c>
      <c r="BX64" s="99">
        <f t="shared" si="23"/>
        <v>0</v>
      </c>
      <c r="BY64" s="105"/>
      <c r="BZ64" s="85">
        <f t="shared" si="52"/>
        <v>0</v>
      </c>
      <c r="CA64" s="85">
        <f t="shared" si="52"/>
        <v>0</v>
      </c>
      <c r="CB64" s="80"/>
      <c r="CC64" s="105"/>
      <c r="CD64" s="12"/>
      <c r="CE64" s="12"/>
      <c r="CF64" s="98">
        <f t="shared" si="40"/>
        <v>0</v>
      </c>
      <c r="CG64" s="99">
        <f t="shared" si="41"/>
        <v>0</v>
      </c>
      <c r="CH64" s="98">
        <f t="shared" si="42"/>
        <v>0</v>
      </c>
      <c r="CI64" s="99">
        <f t="shared" si="43"/>
        <v>0</v>
      </c>
      <c r="CJ64" s="101"/>
      <c r="CK64" s="101"/>
      <c r="CL64" s="101"/>
      <c r="CQ64" s="108"/>
      <c r="CS64" s="102"/>
      <c r="CT64" s="103"/>
      <c r="CU64" s="82"/>
      <c r="CV64" s="105"/>
      <c r="CW64" s="82"/>
      <c r="CX64" s="82"/>
      <c r="CY64" s="82"/>
      <c r="CZ64" s="82"/>
      <c r="DA64" s="82"/>
      <c r="DB64" s="82"/>
      <c r="DC64" s="8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06"/>
      <c r="DP64" s="80"/>
      <c r="DQ64" s="80"/>
      <c r="DR64" s="110"/>
      <c r="DS64" s="80"/>
      <c r="DT64" s="80"/>
      <c r="DU64" s="80"/>
    </row>
    <row r="65" spans="1:125" ht="12.75" x14ac:dyDescent="0.2">
      <c r="A65" s="80">
        <f t="shared" si="44"/>
        <v>49</v>
      </c>
      <c r="B65" s="81"/>
      <c r="C65" s="82"/>
      <c r="D65" s="83" t="str">
        <f t="shared" si="24"/>
        <v/>
      </c>
      <c r="E65" s="84" t="str">
        <f t="shared" si="25"/>
        <v/>
      </c>
      <c r="F65" s="85">
        <f t="shared" si="26"/>
        <v>0</v>
      </c>
      <c r="G65" s="85">
        <f t="shared" si="9"/>
        <v>0</v>
      </c>
      <c r="H65" s="12"/>
      <c r="I65" s="12"/>
      <c r="J65" s="86">
        <f t="shared" si="48"/>
        <v>0</v>
      </c>
      <c r="K65" s="86">
        <f t="shared" si="48"/>
        <v>0</v>
      </c>
      <c r="L65" s="87"/>
      <c r="M65" s="87"/>
      <c r="N65" s="87"/>
      <c r="O65" s="87"/>
      <c r="P65" s="87"/>
      <c r="Q65" s="87"/>
      <c r="R65" s="87"/>
      <c r="S65" s="87"/>
      <c r="T65" s="86">
        <f t="shared" si="27"/>
        <v>0</v>
      </c>
      <c r="U65" s="86">
        <f t="shared" si="28"/>
        <v>0</v>
      </c>
      <c r="V65" s="105"/>
      <c r="W65" s="12"/>
      <c r="X65" s="89">
        <f t="shared" si="11"/>
        <v>0</v>
      </c>
      <c r="Y65" s="12"/>
      <c r="Z65" s="89">
        <f t="shared" si="12"/>
        <v>0</v>
      </c>
      <c r="AA65" s="90"/>
      <c r="AB65" s="91" t="str">
        <f t="shared" si="29"/>
        <v/>
      </c>
      <c r="AC65" s="83" t="str">
        <f t="shared" si="30"/>
        <v/>
      </c>
      <c r="AD65" s="83" t="str">
        <f t="shared" si="31"/>
        <v/>
      </c>
      <c r="AE65" s="83" t="str">
        <f t="shared" si="31"/>
        <v/>
      </c>
      <c r="AF65" s="80"/>
      <c r="AG65" s="27"/>
      <c r="AH65" s="27"/>
      <c r="AI65" s="27"/>
      <c r="AJ65" s="86">
        <f t="shared" si="32"/>
        <v>0</v>
      </c>
      <c r="AK65" s="86">
        <f t="shared" si="32"/>
        <v>0</v>
      </c>
      <c r="AL65" s="27"/>
      <c r="AM65" s="27"/>
      <c r="AN65" s="86">
        <f t="shared" si="33"/>
        <v>0</v>
      </c>
      <c r="AO65" s="86">
        <f t="shared" si="33"/>
        <v>0</v>
      </c>
      <c r="AP65" s="27"/>
      <c r="AQ65" s="27"/>
      <c r="AR65" s="86">
        <f t="shared" si="34"/>
        <v>0</v>
      </c>
      <c r="AS65" s="86">
        <f t="shared" si="34"/>
        <v>0</v>
      </c>
      <c r="AT65" s="27"/>
      <c r="AU65" s="94"/>
      <c r="AW65" s="89">
        <f t="shared" si="13"/>
        <v>0</v>
      </c>
      <c r="AX65" s="89">
        <f t="shared" si="14"/>
        <v>0</v>
      </c>
      <c r="AY65" s="89">
        <f t="shared" si="15"/>
        <v>0</v>
      </c>
      <c r="AZ65" s="89">
        <f t="shared" si="16"/>
        <v>0</v>
      </c>
      <c r="BB65" s="96">
        <f t="shared" si="49"/>
        <v>0</v>
      </c>
      <c r="BC65" s="96">
        <f t="shared" si="49"/>
        <v>0</v>
      </c>
      <c r="BD65" s="84" t="str">
        <f t="shared" si="50"/>
        <v/>
      </c>
      <c r="BE65" s="84" t="str">
        <f t="shared" si="50"/>
        <v/>
      </c>
      <c r="BF65" s="105"/>
      <c r="BG65" s="97" t="str">
        <f t="shared" si="19"/>
        <v/>
      </c>
      <c r="BH65" s="80"/>
      <c r="BI65" s="85">
        <f t="shared" si="51"/>
        <v>0</v>
      </c>
      <c r="BJ65" s="85">
        <f t="shared" si="51"/>
        <v>0</v>
      </c>
      <c r="BK65" s="12"/>
      <c r="BL65" s="12"/>
      <c r="BM65" s="98">
        <f t="shared" si="35"/>
        <v>0</v>
      </c>
      <c r="BN65" s="99">
        <f t="shared" si="36"/>
        <v>0</v>
      </c>
      <c r="BO65" s="98">
        <f t="shared" si="37"/>
        <v>0</v>
      </c>
      <c r="BP65" s="99">
        <f t="shared" si="38"/>
        <v>0</v>
      </c>
      <c r="BQ65" s="12"/>
      <c r="BR65" s="12"/>
      <c r="BS65" s="12"/>
      <c r="BT65" s="12"/>
      <c r="BU65" s="98">
        <f t="shared" si="46"/>
        <v>0</v>
      </c>
      <c r="BV65" s="99">
        <f t="shared" si="45"/>
        <v>0</v>
      </c>
      <c r="BW65" s="98">
        <f t="shared" si="47"/>
        <v>0</v>
      </c>
      <c r="BX65" s="99">
        <f t="shared" si="23"/>
        <v>0</v>
      </c>
      <c r="BY65" s="105"/>
      <c r="BZ65" s="85">
        <f t="shared" si="52"/>
        <v>0</v>
      </c>
      <c r="CA65" s="85">
        <f t="shared" si="52"/>
        <v>0</v>
      </c>
      <c r="CB65" s="80"/>
      <c r="CC65" s="105"/>
      <c r="CD65" s="12"/>
      <c r="CE65" s="12"/>
      <c r="CF65" s="98">
        <f t="shared" si="40"/>
        <v>0</v>
      </c>
      <c r="CG65" s="99">
        <f t="shared" si="41"/>
        <v>0</v>
      </c>
      <c r="CH65" s="98">
        <f t="shared" si="42"/>
        <v>0</v>
      </c>
      <c r="CI65" s="99">
        <f t="shared" si="43"/>
        <v>0</v>
      </c>
      <c r="CJ65" s="101"/>
      <c r="CK65" s="101"/>
      <c r="CL65" s="101"/>
      <c r="CQ65" s="108"/>
      <c r="CS65" s="102"/>
      <c r="CT65" s="103"/>
      <c r="CU65" s="82"/>
      <c r="CV65" s="105"/>
      <c r="CW65" s="82"/>
      <c r="CX65" s="82"/>
      <c r="CY65" s="82"/>
      <c r="CZ65" s="82"/>
      <c r="DA65" s="82"/>
      <c r="DB65" s="82"/>
      <c r="DC65" s="8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06"/>
      <c r="DP65" s="80"/>
      <c r="DQ65" s="80"/>
      <c r="DR65" s="110"/>
      <c r="DS65" s="80"/>
      <c r="DT65" s="80"/>
      <c r="DU65" s="80"/>
    </row>
    <row r="66" spans="1:125" ht="12.75" x14ac:dyDescent="0.2">
      <c r="A66" s="80">
        <f t="shared" si="44"/>
        <v>50</v>
      </c>
      <c r="B66" s="81"/>
      <c r="C66" s="82"/>
      <c r="D66" s="83" t="str">
        <f t="shared" si="24"/>
        <v/>
      </c>
      <c r="E66" s="84" t="str">
        <f t="shared" si="25"/>
        <v/>
      </c>
      <c r="F66" s="85">
        <f t="shared" si="26"/>
        <v>0</v>
      </c>
      <c r="G66" s="85">
        <f t="shared" si="9"/>
        <v>0</v>
      </c>
      <c r="H66" s="12"/>
      <c r="I66" s="12"/>
      <c r="J66" s="86">
        <f t="shared" si="48"/>
        <v>0</v>
      </c>
      <c r="K66" s="86">
        <f t="shared" si="48"/>
        <v>0</v>
      </c>
      <c r="L66" s="87"/>
      <c r="M66" s="87"/>
      <c r="N66" s="87"/>
      <c r="O66" s="87"/>
      <c r="P66" s="87"/>
      <c r="Q66" s="87"/>
      <c r="R66" s="87"/>
      <c r="S66" s="87"/>
      <c r="T66" s="86">
        <f t="shared" si="27"/>
        <v>0</v>
      </c>
      <c r="U66" s="86">
        <f t="shared" si="28"/>
        <v>0</v>
      </c>
      <c r="V66" s="105"/>
      <c r="W66" s="12"/>
      <c r="X66" s="89">
        <f t="shared" si="11"/>
        <v>0</v>
      </c>
      <c r="Y66" s="12"/>
      <c r="Z66" s="89">
        <f t="shared" si="12"/>
        <v>0</v>
      </c>
      <c r="AA66" s="90"/>
      <c r="AB66" s="91" t="str">
        <f t="shared" si="29"/>
        <v/>
      </c>
      <c r="AC66" s="83" t="str">
        <f t="shared" si="30"/>
        <v/>
      </c>
      <c r="AD66" s="83" t="str">
        <f t="shared" si="31"/>
        <v/>
      </c>
      <c r="AE66" s="83" t="str">
        <f t="shared" si="31"/>
        <v/>
      </c>
      <c r="AF66" s="80"/>
      <c r="AG66" s="27"/>
      <c r="AH66" s="27"/>
      <c r="AI66" s="27"/>
      <c r="AJ66" s="86">
        <f t="shared" si="32"/>
        <v>0</v>
      </c>
      <c r="AK66" s="86">
        <f t="shared" si="32"/>
        <v>0</v>
      </c>
      <c r="AL66" s="27"/>
      <c r="AM66" s="27"/>
      <c r="AN66" s="86">
        <f t="shared" si="33"/>
        <v>0</v>
      </c>
      <c r="AO66" s="86">
        <f t="shared" si="33"/>
        <v>0</v>
      </c>
      <c r="AP66" s="27"/>
      <c r="AQ66" s="27"/>
      <c r="AR66" s="86">
        <f t="shared" si="34"/>
        <v>0</v>
      </c>
      <c r="AS66" s="86">
        <f t="shared" si="34"/>
        <v>0</v>
      </c>
      <c r="AT66" s="27"/>
      <c r="AU66" s="94"/>
      <c r="AW66" s="89">
        <f t="shared" si="13"/>
        <v>0</v>
      </c>
      <c r="AX66" s="89">
        <f t="shared" si="14"/>
        <v>0</v>
      </c>
      <c r="AY66" s="89">
        <f t="shared" si="15"/>
        <v>0</v>
      </c>
      <c r="AZ66" s="89">
        <f t="shared" si="16"/>
        <v>0</v>
      </c>
      <c r="BB66" s="96">
        <f t="shared" si="49"/>
        <v>0</v>
      </c>
      <c r="BC66" s="96">
        <f t="shared" si="49"/>
        <v>0</v>
      </c>
      <c r="BD66" s="84" t="str">
        <f t="shared" si="50"/>
        <v/>
      </c>
      <c r="BE66" s="84" t="str">
        <f t="shared" si="50"/>
        <v/>
      </c>
      <c r="BF66" s="105"/>
      <c r="BG66" s="97" t="str">
        <f t="shared" si="19"/>
        <v/>
      </c>
      <c r="BH66" s="80"/>
      <c r="BI66" s="85">
        <f t="shared" si="51"/>
        <v>0</v>
      </c>
      <c r="BJ66" s="85">
        <f t="shared" si="51"/>
        <v>0</v>
      </c>
      <c r="BK66" s="12"/>
      <c r="BL66" s="12"/>
      <c r="BM66" s="98">
        <f t="shared" si="35"/>
        <v>0</v>
      </c>
      <c r="BN66" s="99">
        <f t="shared" si="36"/>
        <v>0</v>
      </c>
      <c r="BO66" s="98">
        <f t="shared" si="37"/>
        <v>0</v>
      </c>
      <c r="BP66" s="99">
        <f t="shared" si="38"/>
        <v>0</v>
      </c>
      <c r="BQ66" s="12"/>
      <c r="BR66" s="12"/>
      <c r="BS66" s="12"/>
      <c r="BT66" s="12"/>
      <c r="BU66" s="98">
        <f t="shared" si="46"/>
        <v>0</v>
      </c>
      <c r="BV66" s="99">
        <f t="shared" si="45"/>
        <v>0</v>
      </c>
      <c r="BW66" s="98">
        <f t="shared" si="47"/>
        <v>0</v>
      </c>
      <c r="BX66" s="99">
        <f t="shared" si="23"/>
        <v>0</v>
      </c>
      <c r="BY66" s="105"/>
      <c r="BZ66" s="85">
        <f t="shared" si="52"/>
        <v>0</v>
      </c>
      <c r="CA66" s="85">
        <f t="shared" si="52"/>
        <v>0</v>
      </c>
      <c r="CB66" s="80"/>
      <c r="CC66" s="105"/>
      <c r="CD66" s="12"/>
      <c r="CE66" s="12"/>
      <c r="CF66" s="98">
        <f t="shared" si="40"/>
        <v>0</v>
      </c>
      <c r="CG66" s="99">
        <f t="shared" si="41"/>
        <v>0</v>
      </c>
      <c r="CH66" s="98">
        <f t="shared" si="42"/>
        <v>0</v>
      </c>
      <c r="CI66" s="99">
        <f t="shared" si="43"/>
        <v>0</v>
      </c>
      <c r="CJ66" s="101"/>
      <c r="CK66" s="101"/>
      <c r="CL66" s="101"/>
      <c r="CQ66" s="108"/>
      <c r="CS66" s="102"/>
      <c r="CT66" s="103"/>
      <c r="CU66" s="82"/>
      <c r="CV66" s="105"/>
      <c r="CW66" s="82"/>
      <c r="CX66" s="82"/>
      <c r="CY66" s="82"/>
      <c r="CZ66" s="82"/>
      <c r="DA66" s="82"/>
      <c r="DB66" s="82"/>
      <c r="DC66" s="8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06"/>
      <c r="DP66" s="80"/>
      <c r="DQ66" s="80"/>
      <c r="DR66" s="110"/>
      <c r="DS66" s="80"/>
      <c r="DT66" s="80"/>
      <c r="DU66" s="80"/>
    </row>
    <row r="67" spans="1:125" ht="12.75" x14ac:dyDescent="0.2">
      <c r="A67" s="80">
        <f t="shared" si="44"/>
        <v>51</v>
      </c>
      <c r="B67" s="81"/>
      <c r="C67" s="82"/>
      <c r="D67" s="83" t="str">
        <f t="shared" si="24"/>
        <v/>
      </c>
      <c r="E67" s="84" t="str">
        <f t="shared" si="25"/>
        <v/>
      </c>
      <c r="F67" s="85">
        <f t="shared" si="26"/>
        <v>0</v>
      </c>
      <c r="G67" s="85">
        <f t="shared" si="9"/>
        <v>0</v>
      </c>
      <c r="H67" s="12"/>
      <c r="I67" s="12"/>
      <c r="J67" s="86">
        <f t="shared" si="48"/>
        <v>0</v>
      </c>
      <c r="K67" s="86">
        <f t="shared" si="48"/>
        <v>0</v>
      </c>
      <c r="L67" s="87"/>
      <c r="M67" s="87"/>
      <c r="N67" s="87"/>
      <c r="O67" s="87"/>
      <c r="P67" s="87"/>
      <c r="Q67" s="87"/>
      <c r="R67" s="87"/>
      <c r="S67" s="87"/>
      <c r="T67" s="86">
        <f t="shared" si="27"/>
        <v>0</v>
      </c>
      <c r="U67" s="86">
        <f t="shared" si="28"/>
        <v>0</v>
      </c>
      <c r="V67" s="105"/>
      <c r="W67" s="12"/>
      <c r="X67" s="89">
        <f t="shared" si="11"/>
        <v>0</v>
      </c>
      <c r="Y67" s="12"/>
      <c r="Z67" s="89">
        <f t="shared" si="12"/>
        <v>0</v>
      </c>
      <c r="AA67" s="90"/>
      <c r="AB67" s="91" t="str">
        <f t="shared" si="29"/>
        <v/>
      </c>
      <c r="AC67" s="83" t="str">
        <f t="shared" si="30"/>
        <v/>
      </c>
      <c r="AD67" s="83" t="str">
        <f t="shared" si="31"/>
        <v/>
      </c>
      <c r="AE67" s="83" t="str">
        <f t="shared" si="31"/>
        <v/>
      </c>
      <c r="AF67" s="80"/>
      <c r="AG67" s="27"/>
      <c r="AH67" s="27"/>
      <c r="AI67" s="27"/>
      <c r="AJ67" s="86">
        <f t="shared" si="32"/>
        <v>0</v>
      </c>
      <c r="AK67" s="86">
        <f t="shared" si="32"/>
        <v>0</v>
      </c>
      <c r="AL67" s="27"/>
      <c r="AM67" s="27"/>
      <c r="AN67" s="86">
        <f t="shared" si="33"/>
        <v>0</v>
      </c>
      <c r="AO67" s="86">
        <f t="shared" si="33"/>
        <v>0</v>
      </c>
      <c r="AP67" s="27"/>
      <c r="AQ67" s="27"/>
      <c r="AR67" s="86">
        <f t="shared" si="34"/>
        <v>0</v>
      </c>
      <c r="AS67" s="86">
        <f t="shared" si="34"/>
        <v>0</v>
      </c>
      <c r="AT67" s="27"/>
      <c r="AU67" s="94"/>
      <c r="AW67" s="89">
        <f t="shared" si="13"/>
        <v>0</v>
      </c>
      <c r="AX67" s="89">
        <f t="shared" si="14"/>
        <v>0</v>
      </c>
      <c r="AY67" s="89">
        <f t="shared" si="15"/>
        <v>0</v>
      </c>
      <c r="AZ67" s="89">
        <f t="shared" si="16"/>
        <v>0</v>
      </c>
      <c r="BB67" s="96">
        <f t="shared" si="49"/>
        <v>0</v>
      </c>
      <c r="BC67" s="96">
        <f t="shared" si="49"/>
        <v>0</v>
      </c>
      <c r="BD67" s="84" t="str">
        <f t="shared" si="50"/>
        <v/>
      </c>
      <c r="BE67" s="84" t="str">
        <f t="shared" si="50"/>
        <v/>
      </c>
      <c r="BF67" s="105"/>
      <c r="BG67" s="97" t="str">
        <f t="shared" si="19"/>
        <v/>
      </c>
      <c r="BH67" s="80"/>
      <c r="BI67" s="85">
        <f t="shared" si="51"/>
        <v>0</v>
      </c>
      <c r="BJ67" s="85">
        <f t="shared" si="51"/>
        <v>0</v>
      </c>
      <c r="BK67" s="12"/>
      <c r="BL67" s="12"/>
      <c r="BM67" s="98">
        <f t="shared" si="35"/>
        <v>0</v>
      </c>
      <c r="BN67" s="99">
        <f t="shared" si="36"/>
        <v>0</v>
      </c>
      <c r="BO67" s="98">
        <f t="shared" si="37"/>
        <v>0</v>
      </c>
      <c r="BP67" s="99">
        <f t="shared" si="38"/>
        <v>0</v>
      </c>
      <c r="BQ67" s="12"/>
      <c r="BR67" s="12"/>
      <c r="BS67" s="12"/>
      <c r="BT67" s="12"/>
      <c r="BU67" s="98">
        <f t="shared" si="46"/>
        <v>0</v>
      </c>
      <c r="BV67" s="99">
        <f t="shared" si="45"/>
        <v>0</v>
      </c>
      <c r="BW67" s="98">
        <f t="shared" si="47"/>
        <v>0</v>
      </c>
      <c r="BX67" s="99">
        <f t="shared" si="23"/>
        <v>0</v>
      </c>
      <c r="BY67" s="105"/>
      <c r="BZ67" s="85">
        <f t="shared" si="52"/>
        <v>0</v>
      </c>
      <c r="CA67" s="85">
        <f t="shared" si="52"/>
        <v>0</v>
      </c>
      <c r="CB67" s="80"/>
      <c r="CC67" s="105"/>
      <c r="CD67" s="12"/>
      <c r="CE67" s="12"/>
      <c r="CF67" s="98">
        <f t="shared" si="40"/>
        <v>0</v>
      </c>
      <c r="CG67" s="99">
        <f t="shared" si="41"/>
        <v>0</v>
      </c>
      <c r="CH67" s="98">
        <f t="shared" si="42"/>
        <v>0</v>
      </c>
      <c r="CI67" s="99">
        <f t="shared" si="43"/>
        <v>0</v>
      </c>
      <c r="CJ67" s="101"/>
      <c r="CK67" s="101"/>
      <c r="CL67" s="101"/>
      <c r="CQ67" s="108"/>
      <c r="CS67" s="102"/>
      <c r="CT67" s="103"/>
      <c r="CU67" s="82"/>
      <c r="CV67" s="105"/>
      <c r="CW67" s="82"/>
      <c r="CX67" s="82"/>
      <c r="CY67" s="82"/>
      <c r="CZ67" s="82"/>
      <c r="DA67" s="82"/>
      <c r="DB67" s="82"/>
      <c r="DC67" s="8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06"/>
      <c r="DP67" s="80"/>
      <c r="DQ67" s="80"/>
      <c r="DR67" s="110"/>
      <c r="DS67" s="80"/>
      <c r="DT67" s="80"/>
      <c r="DU67" s="80"/>
    </row>
    <row r="68" spans="1:125" ht="12.75" x14ac:dyDescent="0.2">
      <c r="A68" s="80">
        <f t="shared" si="44"/>
        <v>52</v>
      </c>
      <c r="B68" s="81"/>
      <c r="C68" s="82"/>
      <c r="D68" s="83" t="str">
        <f t="shared" si="24"/>
        <v/>
      </c>
      <c r="E68" s="84" t="str">
        <f t="shared" si="25"/>
        <v/>
      </c>
      <c r="F68" s="85">
        <f t="shared" si="26"/>
        <v>0</v>
      </c>
      <c r="G68" s="85">
        <f t="shared" si="9"/>
        <v>0</v>
      </c>
      <c r="H68" s="12"/>
      <c r="I68" s="12"/>
      <c r="J68" s="86">
        <f t="shared" si="48"/>
        <v>0</v>
      </c>
      <c r="K68" s="86">
        <f t="shared" si="48"/>
        <v>0</v>
      </c>
      <c r="L68" s="87"/>
      <c r="M68" s="87"/>
      <c r="N68" s="87"/>
      <c r="O68" s="87"/>
      <c r="P68" s="87"/>
      <c r="Q68" s="87"/>
      <c r="R68" s="87"/>
      <c r="S68" s="87"/>
      <c r="T68" s="86">
        <f t="shared" si="27"/>
        <v>0</v>
      </c>
      <c r="U68" s="86">
        <f t="shared" si="28"/>
        <v>0</v>
      </c>
      <c r="V68" s="105"/>
      <c r="W68" s="12"/>
      <c r="X68" s="89">
        <f t="shared" si="11"/>
        <v>0</v>
      </c>
      <c r="Y68" s="12"/>
      <c r="Z68" s="89">
        <f t="shared" si="12"/>
        <v>0</v>
      </c>
      <c r="AA68" s="90"/>
      <c r="AB68" s="91" t="str">
        <f t="shared" si="29"/>
        <v/>
      </c>
      <c r="AC68" s="83" t="str">
        <f t="shared" si="30"/>
        <v/>
      </c>
      <c r="AD68" s="83" t="str">
        <f t="shared" si="31"/>
        <v/>
      </c>
      <c r="AE68" s="83" t="str">
        <f t="shared" si="31"/>
        <v/>
      </c>
      <c r="AF68" s="80"/>
      <c r="AG68" s="27"/>
      <c r="AH68" s="27"/>
      <c r="AI68" s="27"/>
      <c r="AJ68" s="86">
        <f t="shared" si="32"/>
        <v>0</v>
      </c>
      <c r="AK68" s="86">
        <f t="shared" si="32"/>
        <v>0</v>
      </c>
      <c r="AL68" s="27"/>
      <c r="AM68" s="27"/>
      <c r="AN68" s="86">
        <f t="shared" si="33"/>
        <v>0</v>
      </c>
      <c r="AO68" s="86">
        <f t="shared" si="33"/>
        <v>0</v>
      </c>
      <c r="AP68" s="27"/>
      <c r="AQ68" s="27"/>
      <c r="AR68" s="86">
        <f t="shared" si="34"/>
        <v>0</v>
      </c>
      <c r="AS68" s="86">
        <f t="shared" si="34"/>
        <v>0</v>
      </c>
      <c r="AT68" s="27"/>
      <c r="AU68" s="94"/>
      <c r="AW68" s="89">
        <f t="shared" si="13"/>
        <v>0</v>
      </c>
      <c r="AX68" s="89">
        <f t="shared" si="14"/>
        <v>0</v>
      </c>
      <c r="AY68" s="89">
        <f t="shared" si="15"/>
        <v>0</v>
      </c>
      <c r="AZ68" s="89">
        <f t="shared" si="16"/>
        <v>0</v>
      </c>
      <c r="BB68" s="96">
        <f t="shared" si="49"/>
        <v>0</v>
      </c>
      <c r="BC68" s="96">
        <f t="shared" si="49"/>
        <v>0</v>
      </c>
      <c r="BD68" s="84" t="str">
        <f t="shared" si="50"/>
        <v/>
      </c>
      <c r="BE68" s="84" t="str">
        <f t="shared" si="50"/>
        <v/>
      </c>
      <c r="BF68" s="105"/>
      <c r="BG68" s="97" t="str">
        <f t="shared" si="19"/>
        <v/>
      </c>
      <c r="BH68" s="80"/>
      <c r="BI68" s="85">
        <f t="shared" si="51"/>
        <v>0</v>
      </c>
      <c r="BJ68" s="85">
        <f t="shared" si="51"/>
        <v>0</v>
      </c>
      <c r="BK68" s="12"/>
      <c r="BL68" s="12"/>
      <c r="BM68" s="98">
        <f t="shared" si="35"/>
        <v>0</v>
      </c>
      <c r="BN68" s="99">
        <f t="shared" si="36"/>
        <v>0</v>
      </c>
      <c r="BO68" s="98">
        <f t="shared" si="37"/>
        <v>0</v>
      </c>
      <c r="BP68" s="99">
        <f t="shared" si="38"/>
        <v>0</v>
      </c>
      <c r="BQ68" s="12"/>
      <c r="BR68" s="12"/>
      <c r="BS68" s="12"/>
      <c r="BT68" s="12"/>
      <c r="BU68" s="98">
        <f t="shared" si="46"/>
        <v>0</v>
      </c>
      <c r="BV68" s="99">
        <f t="shared" si="45"/>
        <v>0</v>
      </c>
      <c r="BW68" s="98">
        <f t="shared" si="47"/>
        <v>0</v>
      </c>
      <c r="BX68" s="99">
        <f t="shared" si="23"/>
        <v>0</v>
      </c>
      <c r="BY68" s="105"/>
      <c r="BZ68" s="85">
        <f t="shared" si="52"/>
        <v>0</v>
      </c>
      <c r="CA68" s="85">
        <f t="shared" si="52"/>
        <v>0</v>
      </c>
      <c r="CB68" s="80"/>
      <c r="CC68" s="105"/>
      <c r="CD68" s="12"/>
      <c r="CE68" s="12"/>
      <c r="CF68" s="98">
        <f t="shared" si="40"/>
        <v>0</v>
      </c>
      <c r="CG68" s="99">
        <f t="shared" si="41"/>
        <v>0</v>
      </c>
      <c r="CH68" s="98">
        <f t="shared" si="42"/>
        <v>0</v>
      </c>
      <c r="CI68" s="99">
        <f t="shared" si="43"/>
        <v>0</v>
      </c>
      <c r="CJ68" s="101"/>
      <c r="CK68" s="101"/>
      <c r="CL68" s="101"/>
      <c r="CQ68" s="108"/>
      <c r="CS68" s="102"/>
      <c r="CT68" s="103"/>
      <c r="CU68" s="82"/>
      <c r="CV68" s="105"/>
      <c r="CW68" s="82"/>
      <c r="CX68" s="82"/>
      <c r="CY68" s="82"/>
      <c r="CZ68" s="82"/>
      <c r="DA68" s="82"/>
      <c r="DB68" s="82"/>
      <c r="DC68" s="8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06"/>
      <c r="DP68" s="80"/>
      <c r="DQ68" s="80"/>
      <c r="DR68" s="110"/>
      <c r="DS68" s="80"/>
      <c r="DT68" s="80"/>
      <c r="DU68" s="80"/>
    </row>
    <row r="69" spans="1:125" ht="12.75" x14ac:dyDescent="0.2">
      <c r="A69" s="80">
        <f t="shared" si="44"/>
        <v>53</v>
      </c>
      <c r="B69" s="81"/>
      <c r="C69" s="82"/>
      <c r="D69" s="83" t="str">
        <f t="shared" si="24"/>
        <v/>
      </c>
      <c r="E69" s="84" t="str">
        <f t="shared" si="25"/>
        <v/>
      </c>
      <c r="F69" s="85">
        <f t="shared" si="26"/>
        <v>0</v>
      </c>
      <c r="G69" s="85">
        <f t="shared" si="9"/>
        <v>0</v>
      </c>
      <c r="H69" s="12"/>
      <c r="I69" s="12"/>
      <c r="J69" s="86">
        <f t="shared" si="48"/>
        <v>0</v>
      </c>
      <c r="K69" s="86">
        <f t="shared" si="48"/>
        <v>0</v>
      </c>
      <c r="L69" s="87"/>
      <c r="M69" s="87"/>
      <c r="N69" s="87"/>
      <c r="O69" s="87"/>
      <c r="P69" s="87"/>
      <c r="Q69" s="87"/>
      <c r="R69" s="87"/>
      <c r="S69" s="87"/>
      <c r="T69" s="86">
        <f t="shared" si="27"/>
        <v>0</v>
      </c>
      <c r="U69" s="86">
        <f t="shared" si="28"/>
        <v>0</v>
      </c>
      <c r="V69" s="105"/>
      <c r="W69" s="12"/>
      <c r="X69" s="89">
        <f t="shared" si="11"/>
        <v>0</v>
      </c>
      <c r="Y69" s="12"/>
      <c r="Z69" s="89">
        <f t="shared" si="12"/>
        <v>0</v>
      </c>
      <c r="AA69" s="90"/>
      <c r="AB69" s="91" t="str">
        <f t="shared" si="29"/>
        <v/>
      </c>
      <c r="AC69" s="83" t="str">
        <f t="shared" si="30"/>
        <v/>
      </c>
      <c r="AD69" s="83" t="str">
        <f t="shared" si="31"/>
        <v/>
      </c>
      <c r="AE69" s="83" t="str">
        <f t="shared" si="31"/>
        <v/>
      </c>
      <c r="AF69" s="80"/>
      <c r="AG69" s="27"/>
      <c r="AH69" s="27"/>
      <c r="AI69" s="27"/>
      <c r="AJ69" s="86">
        <f t="shared" si="32"/>
        <v>0</v>
      </c>
      <c r="AK69" s="86">
        <f t="shared" si="32"/>
        <v>0</v>
      </c>
      <c r="AL69" s="27"/>
      <c r="AM69" s="27"/>
      <c r="AN69" s="86">
        <f t="shared" si="33"/>
        <v>0</v>
      </c>
      <c r="AO69" s="86">
        <f t="shared" si="33"/>
        <v>0</v>
      </c>
      <c r="AP69" s="27"/>
      <c r="AQ69" s="27"/>
      <c r="AR69" s="86">
        <f t="shared" si="34"/>
        <v>0</v>
      </c>
      <c r="AS69" s="86">
        <f t="shared" si="34"/>
        <v>0</v>
      </c>
      <c r="AT69" s="27"/>
      <c r="AU69" s="94"/>
      <c r="AW69" s="89">
        <f t="shared" si="13"/>
        <v>0</v>
      </c>
      <c r="AX69" s="89">
        <f t="shared" si="14"/>
        <v>0</v>
      </c>
      <c r="AY69" s="89">
        <f t="shared" si="15"/>
        <v>0</v>
      </c>
      <c r="AZ69" s="89">
        <f t="shared" si="16"/>
        <v>0</v>
      </c>
      <c r="BB69" s="96">
        <f t="shared" si="49"/>
        <v>0</v>
      </c>
      <c r="BC69" s="96">
        <f t="shared" si="49"/>
        <v>0</v>
      </c>
      <c r="BD69" s="84" t="str">
        <f t="shared" si="50"/>
        <v/>
      </c>
      <c r="BE69" s="84" t="str">
        <f t="shared" si="50"/>
        <v/>
      </c>
      <c r="BF69" s="105"/>
      <c r="BG69" s="97" t="str">
        <f t="shared" si="19"/>
        <v/>
      </c>
      <c r="BH69" s="80"/>
      <c r="BI69" s="85">
        <f t="shared" si="51"/>
        <v>0</v>
      </c>
      <c r="BJ69" s="85">
        <f t="shared" si="51"/>
        <v>0</v>
      </c>
      <c r="BK69" s="12"/>
      <c r="BL69" s="12"/>
      <c r="BM69" s="98">
        <f t="shared" si="35"/>
        <v>0</v>
      </c>
      <c r="BN69" s="99">
        <f t="shared" si="36"/>
        <v>0</v>
      </c>
      <c r="BO69" s="98">
        <f t="shared" si="37"/>
        <v>0</v>
      </c>
      <c r="BP69" s="99">
        <f t="shared" si="38"/>
        <v>0</v>
      </c>
      <c r="BQ69" s="12"/>
      <c r="BR69" s="12"/>
      <c r="BS69" s="12"/>
      <c r="BT69" s="12"/>
      <c r="BU69" s="98">
        <f t="shared" si="46"/>
        <v>0</v>
      </c>
      <c r="BV69" s="99">
        <f t="shared" si="45"/>
        <v>0</v>
      </c>
      <c r="BW69" s="98">
        <f t="shared" si="47"/>
        <v>0</v>
      </c>
      <c r="BX69" s="99">
        <f t="shared" si="23"/>
        <v>0</v>
      </c>
      <c r="BY69" s="105"/>
      <c r="BZ69" s="85">
        <f t="shared" si="52"/>
        <v>0</v>
      </c>
      <c r="CA69" s="85">
        <f t="shared" si="52"/>
        <v>0</v>
      </c>
      <c r="CB69" s="80"/>
      <c r="CC69" s="105"/>
      <c r="CD69" s="12"/>
      <c r="CE69" s="12"/>
      <c r="CF69" s="98">
        <f t="shared" si="40"/>
        <v>0</v>
      </c>
      <c r="CG69" s="99">
        <f t="shared" si="41"/>
        <v>0</v>
      </c>
      <c r="CH69" s="98">
        <f t="shared" si="42"/>
        <v>0</v>
      </c>
      <c r="CI69" s="99">
        <f t="shared" si="43"/>
        <v>0</v>
      </c>
      <c r="CJ69" s="101"/>
      <c r="CK69" s="101"/>
      <c r="CL69" s="101"/>
      <c r="CQ69" s="108"/>
      <c r="CS69" s="102"/>
      <c r="CT69" s="103"/>
      <c r="CU69" s="82"/>
      <c r="CV69" s="105"/>
      <c r="CW69" s="82"/>
      <c r="CX69" s="82"/>
      <c r="CY69" s="82"/>
      <c r="CZ69" s="82"/>
      <c r="DA69" s="82"/>
      <c r="DB69" s="82"/>
      <c r="DC69" s="8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06"/>
      <c r="DP69" s="80"/>
      <c r="DQ69" s="80"/>
      <c r="DR69" s="110"/>
      <c r="DS69" s="80"/>
      <c r="DT69" s="80"/>
      <c r="DU69" s="80"/>
    </row>
    <row r="70" spans="1:125" ht="12.75" x14ac:dyDescent="0.2">
      <c r="A70" s="80">
        <f t="shared" si="44"/>
        <v>54</v>
      </c>
      <c r="B70" s="81"/>
      <c r="C70" s="82"/>
      <c r="D70" s="83" t="str">
        <f t="shared" si="24"/>
        <v/>
      </c>
      <c r="E70" s="84" t="str">
        <f t="shared" si="25"/>
        <v/>
      </c>
      <c r="F70" s="85">
        <f t="shared" si="26"/>
        <v>0</v>
      </c>
      <c r="G70" s="85">
        <f t="shared" si="9"/>
        <v>0</v>
      </c>
      <c r="H70" s="12"/>
      <c r="I70" s="12"/>
      <c r="J70" s="86">
        <f t="shared" si="48"/>
        <v>0</v>
      </c>
      <c r="K70" s="86">
        <f t="shared" si="48"/>
        <v>0</v>
      </c>
      <c r="L70" s="87"/>
      <c r="M70" s="87"/>
      <c r="N70" s="87"/>
      <c r="O70" s="87"/>
      <c r="P70" s="87"/>
      <c r="Q70" s="87"/>
      <c r="R70" s="87"/>
      <c r="S70" s="87"/>
      <c r="T70" s="86">
        <f t="shared" si="27"/>
        <v>0</v>
      </c>
      <c r="U70" s="86">
        <f t="shared" si="28"/>
        <v>0</v>
      </c>
      <c r="V70" s="105"/>
      <c r="W70" s="12"/>
      <c r="X70" s="89">
        <f t="shared" si="11"/>
        <v>0</v>
      </c>
      <c r="Y70" s="12"/>
      <c r="Z70" s="89">
        <f t="shared" si="12"/>
        <v>0</v>
      </c>
      <c r="AA70" s="90"/>
      <c r="AB70" s="91" t="str">
        <f t="shared" si="29"/>
        <v/>
      </c>
      <c r="AC70" s="83" t="str">
        <f t="shared" si="30"/>
        <v/>
      </c>
      <c r="AD70" s="83" t="str">
        <f t="shared" si="31"/>
        <v/>
      </c>
      <c r="AE70" s="83" t="str">
        <f t="shared" si="31"/>
        <v/>
      </c>
      <c r="AF70" s="80"/>
      <c r="AG70" s="27"/>
      <c r="AH70" s="27"/>
      <c r="AI70" s="27"/>
      <c r="AJ70" s="86">
        <f t="shared" si="32"/>
        <v>0</v>
      </c>
      <c r="AK70" s="86">
        <f t="shared" si="32"/>
        <v>0</v>
      </c>
      <c r="AL70" s="27"/>
      <c r="AM70" s="27"/>
      <c r="AN70" s="86">
        <f t="shared" si="33"/>
        <v>0</v>
      </c>
      <c r="AO70" s="86">
        <f t="shared" si="33"/>
        <v>0</v>
      </c>
      <c r="AP70" s="27"/>
      <c r="AQ70" s="27"/>
      <c r="AR70" s="86">
        <f t="shared" si="34"/>
        <v>0</v>
      </c>
      <c r="AS70" s="86">
        <f t="shared" si="34"/>
        <v>0</v>
      </c>
      <c r="AT70" s="27"/>
      <c r="AU70" s="94"/>
      <c r="AW70" s="89">
        <f t="shared" si="13"/>
        <v>0</v>
      </c>
      <c r="AX70" s="89">
        <f t="shared" si="14"/>
        <v>0</v>
      </c>
      <c r="AY70" s="89">
        <f t="shared" si="15"/>
        <v>0</v>
      </c>
      <c r="AZ70" s="89">
        <f t="shared" si="16"/>
        <v>0</v>
      </c>
      <c r="BB70" s="96">
        <f t="shared" si="49"/>
        <v>0</v>
      </c>
      <c r="BC70" s="96">
        <f t="shared" si="49"/>
        <v>0</v>
      </c>
      <c r="BD70" s="84" t="str">
        <f t="shared" si="50"/>
        <v/>
      </c>
      <c r="BE70" s="84" t="str">
        <f t="shared" si="50"/>
        <v/>
      </c>
      <c r="BF70" s="105"/>
      <c r="BG70" s="97" t="str">
        <f t="shared" si="19"/>
        <v/>
      </c>
      <c r="BH70" s="80"/>
      <c r="BI70" s="85">
        <f t="shared" si="51"/>
        <v>0</v>
      </c>
      <c r="BJ70" s="85">
        <f t="shared" si="51"/>
        <v>0</v>
      </c>
      <c r="BK70" s="12"/>
      <c r="BL70" s="12"/>
      <c r="BM70" s="98">
        <f t="shared" si="35"/>
        <v>0</v>
      </c>
      <c r="BN70" s="99">
        <f t="shared" si="36"/>
        <v>0</v>
      </c>
      <c r="BO70" s="98">
        <f t="shared" si="37"/>
        <v>0</v>
      </c>
      <c r="BP70" s="99">
        <f t="shared" si="38"/>
        <v>0</v>
      </c>
      <c r="BQ70" s="12"/>
      <c r="BR70" s="12"/>
      <c r="BS70" s="12"/>
      <c r="BT70" s="12"/>
      <c r="BU70" s="98">
        <f t="shared" si="46"/>
        <v>0</v>
      </c>
      <c r="BV70" s="99">
        <f t="shared" si="45"/>
        <v>0</v>
      </c>
      <c r="BW70" s="98">
        <f t="shared" si="47"/>
        <v>0</v>
      </c>
      <c r="BX70" s="99">
        <f t="shared" si="23"/>
        <v>0</v>
      </c>
      <c r="BY70" s="105"/>
      <c r="BZ70" s="85">
        <f t="shared" si="52"/>
        <v>0</v>
      </c>
      <c r="CA70" s="85">
        <f t="shared" si="52"/>
        <v>0</v>
      </c>
      <c r="CB70" s="80"/>
      <c r="CC70" s="105"/>
      <c r="CD70" s="12"/>
      <c r="CE70" s="12"/>
      <c r="CF70" s="98">
        <f t="shared" si="40"/>
        <v>0</v>
      </c>
      <c r="CG70" s="99">
        <f t="shared" si="41"/>
        <v>0</v>
      </c>
      <c r="CH70" s="98">
        <f t="shared" si="42"/>
        <v>0</v>
      </c>
      <c r="CI70" s="99">
        <f t="shared" si="43"/>
        <v>0</v>
      </c>
      <c r="CJ70" s="101"/>
      <c r="CK70" s="101"/>
      <c r="CL70" s="101"/>
      <c r="CQ70" s="108"/>
      <c r="CS70" s="102"/>
      <c r="CT70" s="103"/>
      <c r="CU70" s="82"/>
      <c r="CV70" s="105"/>
      <c r="CW70" s="82"/>
      <c r="CX70" s="82"/>
      <c r="CY70" s="82"/>
      <c r="CZ70" s="82"/>
      <c r="DA70" s="82"/>
      <c r="DB70" s="82"/>
      <c r="DC70" s="8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06"/>
      <c r="DP70" s="80"/>
      <c r="DQ70" s="80"/>
      <c r="DR70" s="110"/>
      <c r="DS70" s="80"/>
      <c r="DT70" s="80"/>
      <c r="DU70" s="80"/>
    </row>
    <row r="71" spans="1:125" ht="12.75" x14ac:dyDescent="0.2">
      <c r="A71" s="80">
        <f t="shared" si="44"/>
        <v>55</v>
      </c>
      <c r="B71" s="81"/>
      <c r="C71" s="82"/>
      <c r="D71" s="83" t="str">
        <f t="shared" si="24"/>
        <v/>
      </c>
      <c r="E71" s="84" t="str">
        <f t="shared" si="25"/>
        <v/>
      </c>
      <c r="F71" s="85">
        <f t="shared" si="26"/>
        <v>0</v>
      </c>
      <c r="G71" s="85">
        <f t="shared" si="9"/>
        <v>0</v>
      </c>
      <c r="H71" s="12"/>
      <c r="I71" s="12"/>
      <c r="J71" s="86">
        <f t="shared" si="48"/>
        <v>0</v>
      </c>
      <c r="K71" s="86">
        <f t="shared" si="48"/>
        <v>0</v>
      </c>
      <c r="L71" s="87"/>
      <c r="M71" s="87"/>
      <c r="N71" s="87"/>
      <c r="O71" s="87"/>
      <c r="P71" s="87"/>
      <c r="Q71" s="87"/>
      <c r="R71" s="87"/>
      <c r="S71" s="87"/>
      <c r="T71" s="86">
        <f t="shared" si="27"/>
        <v>0</v>
      </c>
      <c r="U71" s="86">
        <f t="shared" si="28"/>
        <v>0</v>
      </c>
      <c r="V71" s="105"/>
      <c r="W71" s="12"/>
      <c r="X71" s="89">
        <f t="shared" si="11"/>
        <v>0</v>
      </c>
      <c r="Y71" s="12"/>
      <c r="Z71" s="89">
        <f t="shared" si="12"/>
        <v>0</v>
      </c>
      <c r="AA71" s="90"/>
      <c r="AB71" s="91" t="str">
        <f t="shared" si="29"/>
        <v/>
      </c>
      <c r="AC71" s="83" t="str">
        <f t="shared" si="30"/>
        <v/>
      </c>
      <c r="AD71" s="83" t="str">
        <f t="shared" si="31"/>
        <v/>
      </c>
      <c r="AE71" s="83" t="str">
        <f t="shared" si="31"/>
        <v/>
      </c>
      <c r="AF71" s="80"/>
      <c r="AG71" s="27"/>
      <c r="AH71" s="27"/>
      <c r="AI71" s="27"/>
      <c r="AJ71" s="86">
        <f t="shared" si="32"/>
        <v>0</v>
      </c>
      <c r="AK71" s="86">
        <f t="shared" si="32"/>
        <v>0</v>
      </c>
      <c r="AL71" s="27"/>
      <c r="AM71" s="27"/>
      <c r="AN71" s="86">
        <f t="shared" si="33"/>
        <v>0</v>
      </c>
      <c r="AO71" s="86">
        <f t="shared" si="33"/>
        <v>0</v>
      </c>
      <c r="AP71" s="27"/>
      <c r="AQ71" s="27"/>
      <c r="AR71" s="86">
        <f t="shared" si="34"/>
        <v>0</v>
      </c>
      <c r="AS71" s="86">
        <f t="shared" si="34"/>
        <v>0</v>
      </c>
      <c r="AT71" s="27"/>
      <c r="AU71" s="94"/>
      <c r="AW71" s="89">
        <f t="shared" si="13"/>
        <v>0</v>
      </c>
      <c r="AX71" s="89">
        <f t="shared" si="14"/>
        <v>0</v>
      </c>
      <c r="AY71" s="89">
        <f t="shared" si="15"/>
        <v>0</v>
      </c>
      <c r="AZ71" s="89">
        <f t="shared" si="16"/>
        <v>0</v>
      </c>
      <c r="BB71" s="96">
        <f t="shared" si="49"/>
        <v>0</v>
      </c>
      <c r="BC71" s="96">
        <f t="shared" si="49"/>
        <v>0</v>
      </c>
      <c r="BD71" s="84" t="str">
        <f t="shared" si="50"/>
        <v/>
      </c>
      <c r="BE71" s="84" t="str">
        <f t="shared" si="50"/>
        <v/>
      </c>
      <c r="BF71" s="105"/>
      <c r="BG71" s="97" t="str">
        <f t="shared" si="19"/>
        <v/>
      </c>
      <c r="BH71" s="80"/>
      <c r="BI71" s="85">
        <f t="shared" si="51"/>
        <v>0</v>
      </c>
      <c r="BJ71" s="85">
        <f t="shared" si="51"/>
        <v>0</v>
      </c>
      <c r="BK71" s="12"/>
      <c r="BL71" s="12"/>
      <c r="BM71" s="98">
        <f t="shared" si="35"/>
        <v>0</v>
      </c>
      <c r="BN71" s="99">
        <f t="shared" si="36"/>
        <v>0</v>
      </c>
      <c r="BO71" s="98">
        <f t="shared" si="37"/>
        <v>0</v>
      </c>
      <c r="BP71" s="99">
        <f t="shared" si="38"/>
        <v>0</v>
      </c>
      <c r="BQ71" s="12"/>
      <c r="BR71" s="12"/>
      <c r="BS71" s="12"/>
      <c r="BT71" s="12"/>
      <c r="BU71" s="98">
        <f t="shared" si="46"/>
        <v>0</v>
      </c>
      <c r="BV71" s="99">
        <f t="shared" si="45"/>
        <v>0</v>
      </c>
      <c r="BW71" s="98">
        <f t="shared" si="47"/>
        <v>0</v>
      </c>
      <c r="BX71" s="99">
        <f t="shared" si="23"/>
        <v>0</v>
      </c>
      <c r="BY71" s="105"/>
      <c r="BZ71" s="85">
        <f t="shared" si="52"/>
        <v>0</v>
      </c>
      <c r="CA71" s="85">
        <f t="shared" si="52"/>
        <v>0</v>
      </c>
      <c r="CB71" s="80"/>
      <c r="CC71" s="105"/>
      <c r="CD71" s="12"/>
      <c r="CE71" s="12"/>
      <c r="CF71" s="98">
        <f t="shared" si="40"/>
        <v>0</v>
      </c>
      <c r="CG71" s="99">
        <f t="shared" si="41"/>
        <v>0</v>
      </c>
      <c r="CH71" s="98">
        <f t="shared" si="42"/>
        <v>0</v>
      </c>
      <c r="CI71" s="99">
        <f t="shared" si="43"/>
        <v>0</v>
      </c>
      <c r="CJ71" s="101"/>
      <c r="CK71" s="101"/>
      <c r="CL71" s="101"/>
      <c r="CQ71" s="108"/>
      <c r="CS71" s="102"/>
      <c r="CT71" s="103"/>
      <c r="CU71" s="82"/>
      <c r="CV71" s="105"/>
      <c r="CW71" s="82"/>
      <c r="CX71" s="82"/>
      <c r="CY71" s="82"/>
      <c r="CZ71" s="82"/>
      <c r="DA71" s="82"/>
      <c r="DB71" s="82"/>
      <c r="DC71" s="8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06"/>
      <c r="DP71" s="80"/>
      <c r="DQ71" s="80"/>
      <c r="DR71" s="110"/>
      <c r="DS71" s="80"/>
      <c r="DT71" s="80"/>
      <c r="DU71" s="80"/>
    </row>
    <row r="72" spans="1:125" ht="12.75" x14ac:dyDescent="0.2">
      <c r="A72" s="80">
        <f t="shared" si="44"/>
        <v>56</v>
      </c>
      <c r="B72" s="81"/>
      <c r="C72" s="82"/>
      <c r="D72" s="83" t="str">
        <f t="shared" si="24"/>
        <v/>
      </c>
      <c r="E72" s="84" t="str">
        <f t="shared" si="25"/>
        <v/>
      </c>
      <c r="F72" s="85">
        <f t="shared" si="26"/>
        <v>0</v>
      </c>
      <c r="G72" s="85">
        <f t="shared" si="9"/>
        <v>0</v>
      </c>
      <c r="H72" s="12"/>
      <c r="I72" s="12"/>
      <c r="J72" s="86">
        <f t="shared" si="48"/>
        <v>0</v>
      </c>
      <c r="K72" s="86">
        <f t="shared" si="48"/>
        <v>0</v>
      </c>
      <c r="L72" s="87"/>
      <c r="M72" s="87"/>
      <c r="N72" s="87"/>
      <c r="O72" s="87"/>
      <c r="P72" s="87"/>
      <c r="Q72" s="87"/>
      <c r="R72" s="87"/>
      <c r="S72" s="87"/>
      <c r="T72" s="86">
        <f t="shared" si="27"/>
        <v>0</v>
      </c>
      <c r="U72" s="86">
        <f t="shared" si="28"/>
        <v>0</v>
      </c>
      <c r="V72" s="105"/>
      <c r="W72" s="12"/>
      <c r="X72" s="89">
        <f t="shared" si="11"/>
        <v>0</v>
      </c>
      <c r="Y72" s="12"/>
      <c r="Z72" s="89">
        <f t="shared" si="12"/>
        <v>0</v>
      </c>
      <c r="AA72" s="90"/>
      <c r="AB72" s="91" t="str">
        <f t="shared" si="29"/>
        <v/>
      </c>
      <c r="AC72" s="83" t="str">
        <f t="shared" si="30"/>
        <v/>
      </c>
      <c r="AD72" s="83" t="str">
        <f t="shared" si="31"/>
        <v/>
      </c>
      <c r="AE72" s="83" t="str">
        <f t="shared" si="31"/>
        <v/>
      </c>
      <c r="AF72" s="80"/>
      <c r="AG72" s="27"/>
      <c r="AH72" s="27"/>
      <c r="AI72" s="27"/>
      <c r="AJ72" s="86">
        <f t="shared" si="32"/>
        <v>0</v>
      </c>
      <c r="AK72" s="86">
        <f t="shared" si="32"/>
        <v>0</v>
      </c>
      <c r="AL72" s="27"/>
      <c r="AM72" s="27"/>
      <c r="AN72" s="86">
        <f t="shared" si="33"/>
        <v>0</v>
      </c>
      <c r="AO72" s="86">
        <f t="shared" si="33"/>
        <v>0</v>
      </c>
      <c r="AP72" s="27"/>
      <c r="AQ72" s="27"/>
      <c r="AR72" s="86">
        <f t="shared" si="34"/>
        <v>0</v>
      </c>
      <c r="AS72" s="86">
        <f t="shared" si="34"/>
        <v>0</v>
      </c>
      <c r="AT72" s="27"/>
      <c r="AU72" s="94"/>
      <c r="AW72" s="89">
        <f t="shared" si="13"/>
        <v>0</v>
      </c>
      <c r="AX72" s="89">
        <f t="shared" si="14"/>
        <v>0</v>
      </c>
      <c r="AY72" s="89">
        <f t="shared" si="15"/>
        <v>0</v>
      </c>
      <c r="AZ72" s="89">
        <f t="shared" si="16"/>
        <v>0</v>
      </c>
      <c r="BB72" s="96">
        <f t="shared" si="49"/>
        <v>0</v>
      </c>
      <c r="BC72" s="96">
        <f t="shared" si="49"/>
        <v>0</v>
      </c>
      <c r="BD72" s="84" t="str">
        <f t="shared" si="50"/>
        <v/>
      </c>
      <c r="BE72" s="84" t="str">
        <f t="shared" si="50"/>
        <v/>
      </c>
      <c r="BF72" s="105"/>
      <c r="BG72" s="97" t="str">
        <f t="shared" si="19"/>
        <v/>
      </c>
      <c r="BH72" s="80"/>
      <c r="BI72" s="85">
        <f t="shared" si="51"/>
        <v>0</v>
      </c>
      <c r="BJ72" s="85">
        <f t="shared" si="51"/>
        <v>0</v>
      </c>
      <c r="BK72" s="12"/>
      <c r="BL72" s="12"/>
      <c r="BM72" s="98">
        <f t="shared" si="35"/>
        <v>0</v>
      </c>
      <c r="BN72" s="99">
        <f t="shared" si="36"/>
        <v>0</v>
      </c>
      <c r="BO72" s="98">
        <f t="shared" si="37"/>
        <v>0</v>
      </c>
      <c r="BP72" s="99">
        <f t="shared" si="38"/>
        <v>0</v>
      </c>
      <c r="BQ72" s="12"/>
      <c r="BR72" s="12"/>
      <c r="BS72" s="12"/>
      <c r="BT72" s="12"/>
      <c r="BU72" s="98">
        <f t="shared" si="46"/>
        <v>0</v>
      </c>
      <c r="BV72" s="99">
        <f t="shared" si="45"/>
        <v>0</v>
      </c>
      <c r="BW72" s="98">
        <f t="shared" si="47"/>
        <v>0</v>
      </c>
      <c r="BX72" s="99">
        <f t="shared" si="23"/>
        <v>0</v>
      </c>
      <c r="BY72" s="105"/>
      <c r="BZ72" s="85">
        <f t="shared" si="52"/>
        <v>0</v>
      </c>
      <c r="CA72" s="85">
        <f t="shared" si="52"/>
        <v>0</v>
      </c>
      <c r="CB72" s="80"/>
      <c r="CC72" s="105"/>
      <c r="CD72" s="12"/>
      <c r="CE72" s="12"/>
      <c r="CF72" s="98">
        <f t="shared" si="40"/>
        <v>0</v>
      </c>
      <c r="CG72" s="99">
        <f t="shared" si="41"/>
        <v>0</v>
      </c>
      <c r="CH72" s="98">
        <f t="shared" si="42"/>
        <v>0</v>
      </c>
      <c r="CI72" s="99">
        <f t="shared" si="43"/>
        <v>0</v>
      </c>
      <c r="CJ72" s="101"/>
      <c r="CK72" s="101"/>
      <c r="CL72" s="101"/>
      <c r="CQ72" s="108"/>
      <c r="CS72" s="102"/>
      <c r="CT72" s="103"/>
      <c r="CU72" s="82"/>
      <c r="CV72" s="105"/>
      <c r="CW72" s="82"/>
      <c r="CX72" s="82"/>
      <c r="CY72" s="82"/>
      <c r="CZ72" s="82"/>
      <c r="DA72" s="82"/>
      <c r="DB72" s="82"/>
      <c r="DC72" s="8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06"/>
      <c r="DP72" s="80"/>
      <c r="DQ72" s="80"/>
      <c r="DR72" s="110"/>
      <c r="DS72" s="80"/>
      <c r="DT72" s="80"/>
      <c r="DU72" s="80"/>
    </row>
    <row r="73" spans="1:125" ht="12.75" x14ac:dyDescent="0.2">
      <c r="A73" s="80">
        <f t="shared" si="44"/>
        <v>57</v>
      </c>
      <c r="B73" s="81"/>
      <c r="C73" s="82"/>
      <c r="D73" s="83" t="str">
        <f t="shared" si="24"/>
        <v/>
      </c>
      <c r="E73" s="84" t="str">
        <f t="shared" si="25"/>
        <v/>
      </c>
      <c r="F73" s="85">
        <f t="shared" si="26"/>
        <v>0</v>
      </c>
      <c r="G73" s="85">
        <f t="shared" si="9"/>
        <v>0</v>
      </c>
      <c r="H73" s="12"/>
      <c r="I73" s="12"/>
      <c r="J73" s="86">
        <f t="shared" si="48"/>
        <v>0</v>
      </c>
      <c r="K73" s="86">
        <f t="shared" si="48"/>
        <v>0</v>
      </c>
      <c r="L73" s="87"/>
      <c r="M73" s="87"/>
      <c r="N73" s="87"/>
      <c r="O73" s="87"/>
      <c r="P73" s="87"/>
      <c r="Q73" s="87"/>
      <c r="R73" s="87"/>
      <c r="S73" s="87"/>
      <c r="T73" s="86">
        <f t="shared" si="27"/>
        <v>0</v>
      </c>
      <c r="U73" s="86">
        <f t="shared" si="28"/>
        <v>0</v>
      </c>
      <c r="V73" s="105"/>
      <c r="W73" s="12"/>
      <c r="X73" s="89">
        <f t="shared" si="11"/>
        <v>0</v>
      </c>
      <c r="Y73" s="12"/>
      <c r="Z73" s="89">
        <f t="shared" si="12"/>
        <v>0</v>
      </c>
      <c r="AA73" s="90"/>
      <c r="AB73" s="91" t="str">
        <f t="shared" si="29"/>
        <v/>
      </c>
      <c r="AC73" s="83" t="str">
        <f t="shared" si="30"/>
        <v/>
      </c>
      <c r="AD73" s="83" t="str">
        <f t="shared" si="31"/>
        <v/>
      </c>
      <c r="AE73" s="83" t="str">
        <f t="shared" si="31"/>
        <v/>
      </c>
      <c r="AF73" s="80"/>
      <c r="AG73" s="27"/>
      <c r="AH73" s="27"/>
      <c r="AI73" s="27"/>
      <c r="AJ73" s="86">
        <f t="shared" si="32"/>
        <v>0</v>
      </c>
      <c r="AK73" s="86">
        <f t="shared" si="32"/>
        <v>0</v>
      </c>
      <c r="AL73" s="27"/>
      <c r="AM73" s="27"/>
      <c r="AN73" s="86">
        <f t="shared" si="33"/>
        <v>0</v>
      </c>
      <c r="AO73" s="86">
        <f t="shared" si="33"/>
        <v>0</v>
      </c>
      <c r="AP73" s="27"/>
      <c r="AQ73" s="27"/>
      <c r="AR73" s="86">
        <f t="shared" si="34"/>
        <v>0</v>
      </c>
      <c r="AS73" s="86">
        <f t="shared" si="34"/>
        <v>0</v>
      </c>
      <c r="AT73" s="27"/>
      <c r="AU73" s="94"/>
      <c r="AW73" s="89">
        <f t="shared" si="13"/>
        <v>0</v>
      </c>
      <c r="AX73" s="89">
        <f t="shared" si="14"/>
        <v>0</v>
      </c>
      <c r="AY73" s="89">
        <f t="shared" si="15"/>
        <v>0</v>
      </c>
      <c r="AZ73" s="89">
        <f t="shared" si="16"/>
        <v>0</v>
      </c>
      <c r="BB73" s="96">
        <f t="shared" si="49"/>
        <v>0</v>
      </c>
      <c r="BC73" s="96">
        <f t="shared" si="49"/>
        <v>0</v>
      </c>
      <c r="BD73" s="84" t="str">
        <f t="shared" si="50"/>
        <v/>
      </c>
      <c r="BE73" s="84" t="str">
        <f t="shared" si="50"/>
        <v/>
      </c>
      <c r="BF73" s="105"/>
      <c r="BG73" s="97" t="str">
        <f t="shared" si="19"/>
        <v/>
      </c>
      <c r="BH73" s="80"/>
      <c r="BI73" s="85">
        <f t="shared" si="51"/>
        <v>0</v>
      </c>
      <c r="BJ73" s="85">
        <f t="shared" si="51"/>
        <v>0</v>
      </c>
      <c r="BK73" s="12"/>
      <c r="BL73" s="12"/>
      <c r="BM73" s="98">
        <f t="shared" si="35"/>
        <v>0</v>
      </c>
      <c r="BN73" s="99">
        <f t="shared" si="36"/>
        <v>0</v>
      </c>
      <c r="BO73" s="98">
        <f t="shared" si="37"/>
        <v>0</v>
      </c>
      <c r="BP73" s="99">
        <f t="shared" si="38"/>
        <v>0</v>
      </c>
      <c r="BQ73" s="12"/>
      <c r="BR73" s="12"/>
      <c r="BS73" s="12"/>
      <c r="BT73" s="12"/>
      <c r="BU73" s="98">
        <f t="shared" si="46"/>
        <v>0</v>
      </c>
      <c r="BV73" s="99">
        <f t="shared" si="45"/>
        <v>0</v>
      </c>
      <c r="BW73" s="98">
        <f t="shared" si="47"/>
        <v>0</v>
      </c>
      <c r="BX73" s="99">
        <f t="shared" si="23"/>
        <v>0</v>
      </c>
      <c r="BY73" s="105"/>
      <c r="BZ73" s="85">
        <f t="shared" si="52"/>
        <v>0</v>
      </c>
      <c r="CA73" s="85">
        <f t="shared" si="52"/>
        <v>0</v>
      </c>
      <c r="CB73" s="80"/>
      <c r="CC73" s="105"/>
      <c r="CD73" s="12"/>
      <c r="CE73" s="12"/>
      <c r="CF73" s="98">
        <f t="shared" si="40"/>
        <v>0</v>
      </c>
      <c r="CG73" s="99">
        <f t="shared" si="41"/>
        <v>0</v>
      </c>
      <c r="CH73" s="98">
        <f t="shared" si="42"/>
        <v>0</v>
      </c>
      <c r="CI73" s="99">
        <f t="shared" si="43"/>
        <v>0</v>
      </c>
      <c r="CJ73" s="101"/>
      <c r="CK73" s="101"/>
      <c r="CL73" s="101"/>
      <c r="CQ73" s="108"/>
      <c r="CS73" s="102"/>
      <c r="CT73" s="103"/>
      <c r="CU73" s="82"/>
      <c r="CV73" s="105"/>
      <c r="CW73" s="82"/>
      <c r="CX73" s="82"/>
      <c r="CY73" s="82"/>
      <c r="CZ73" s="82"/>
      <c r="DA73" s="82"/>
      <c r="DB73" s="82"/>
      <c r="DC73" s="8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06"/>
      <c r="DP73" s="80"/>
      <c r="DQ73" s="80"/>
      <c r="DR73" s="110"/>
      <c r="DS73" s="80"/>
      <c r="DT73" s="80"/>
      <c r="DU73" s="80"/>
    </row>
    <row r="74" spans="1:125" ht="12.75" x14ac:dyDescent="0.2">
      <c r="A74" s="80">
        <f t="shared" si="44"/>
        <v>58</v>
      </c>
      <c r="B74" s="81"/>
      <c r="C74" s="82"/>
      <c r="D74" s="83" t="str">
        <f t="shared" si="24"/>
        <v/>
      </c>
      <c r="E74" s="84" t="str">
        <f t="shared" si="25"/>
        <v/>
      </c>
      <c r="F74" s="85">
        <f t="shared" si="26"/>
        <v>0</v>
      </c>
      <c r="G74" s="85">
        <f t="shared" si="9"/>
        <v>0</v>
      </c>
      <c r="H74" s="12"/>
      <c r="I74" s="12"/>
      <c r="J74" s="86">
        <f t="shared" si="48"/>
        <v>0</v>
      </c>
      <c r="K74" s="86">
        <f t="shared" si="48"/>
        <v>0</v>
      </c>
      <c r="L74" s="87"/>
      <c r="M74" s="87"/>
      <c r="N74" s="87"/>
      <c r="O74" s="87"/>
      <c r="P74" s="87"/>
      <c r="Q74" s="87"/>
      <c r="R74" s="87"/>
      <c r="S74" s="87"/>
      <c r="T74" s="86">
        <f t="shared" si="27"/>
        <v>0</v>
      </c>
      <c r="U74" s="86">
        <f t="shared" si="28"/>
        <v>0</v>
      </c>
      <c r="V74" s="105"/>
      <c r="W74" s="12"/>
      <c r="X74" s="89">
        <f t="shared" si="11"/>
        <v>0</v>
      </c>
      <c r="Y74" s="12"/>
      <c r="Z74" s="89">
        <f t="shared" si="12"/>
        <v>0</v>
      </c>
      <c r="AA74" s="90"/>
      <c r="AB74" s="91" t="str">
        <f t="shared" si="29"/>
        <v/>
      </c>
      <c r="AC74" s="83" t="str">
        <f t="shared" si="30"/>
        <v/>
      </c>
      <c r="AD74" s="83" t="str">
        <f t="shared" si="31"/>
        <v/>
      </c>
      <c r="AE74" s="83" t="str">
        <f t="shared" si="31"/>
        <v/>
      </c>
      <c r="AF74" s="80"/>
      <c r="AG74" s="27"/>
      <c r="AH74" s="27"/>
      <c r="AI74" s="27"/>
      <c r="AJ74" s="86">
        <f t="shared" si="32"/>
        <v>0</v>
      </c>
      <c r="AK74" s="86">
        <f t="shared" si="32"/>
        <v>0</v>
      </c>
      <c r="AL74" s="27"/>
      <c r="AM74" s="27"/>
      <c r="AN74" s="86">
        <f t="shared" si="33"/>
        <v>0</v>
      </c>
      <c r="AO74" s="86">
        <f t="shared" si="33"/>
        <v>0</v>
      </c>
      <c r="AP74" s="27"/>
      <c r="AQ74" s="27"/>
      <c r="AR74" s="86">
        <f t="shared" si="34"/>
        <v>0</v>
      </c>
      <c r="AS74" s="86">
        <f t="shared" si="34"/>
        <v>0</v>
      </c>
      <c r="AT74" s="27"/>
      <c r="AU74" s="94"/>
      <c r="AW74" s="89">
        <f t="shared" si="13"/>
        <v>0</v>
      </c>
      <c r="AX74" s="89">
        <f t="shared" si="14"/>
        <v>0</v>
      </c>
      <c r="AY74" s="89">
        <f t="shared" si="15"/>
        <v>0</v>
      </c>
      <c r="AZ74" s="89">
        <f t="shared" si="16"/>
        <v>0</v>
      </c>
      <c r="BB74" s="96">
        <f t="shared" si="49"/>
        <v>0</v>
      </c>
      <c r="BC74" s="96">
        <f t="shared" si="49"/>
        <v>0</v>
      </c>
      <c r="BD74" s="84" t="str">
        <f t="shared" si="50"/>
        <v/>
      </c>
      <c r="BE74" s="84" t="str">
        <f t="shared" si="50"/>
        <v/>
      </c>
      <c r="BF74" s="105"/>
      <c r="BG74" s="97" t="str">
        <f t="shared" si="19"/>
        <v/>
      </c>
      <c r="BH74" s="80"/>
      <c r="BI74" s="85">
        <f t="shared" si="51"/>
        <v>0</v>
      </c>
      <c r="BJ74" s="85">
        <f t="shared" si="51"/>
        <v>0</v>
      </c>
      <c r="BK74" s="12"/>
      <c r="BL74" s="12"/>
      <c r="BM74" s="98">
        <f t="shared" si="35"/>
        <v>0</v>
      </c>
      <c r="BN74" s="99">
        <f t="shared" si="36"/>
        <v>0</v>
      </c>
      <c r="BO74" s="98">
        <f t="shared" si="37"/>
        <v>0</v>
      </c>
      <c r="BP74" s="99">
        <f t="shared" si="38"/>
        <v>0</v>
      </c>
      <c r="BQ74" s="12"/>
      <c r="BR74" s="12"/>
      <c r="BS74" s="12"/>
      <c r="BT74" s="12"/>
      <c r="BU74" s="98">
        <f t="shared" si="46"/>
        <v>0</v>
      </c>
      <c r="BV74" s="99">
        <f t="shared" si="45"/>
        <v>0</v>
      </c>
      <c r="BW74" s="98">
        <f t="shared" si="47"/>
        <v>0</v>
      </c>
      <c r="BX74" s="99">
        <f t="shared" si="23"/>
        <v>0</v>
      </c>
      <c r="BY74" s="105"/>
      <c r="BZ74" s="85">
        <f t="shared" si="52"/>
        <v>0</v>
      </c>
      <c r="CA74" s="85">
        <f t="shared" si="52"/>
        <v>0</v>
      </c>
      <c r="CB74" s="80"/>
      <c r="CC74" s="105"/>
      <c r="CD74" s="12"/>
      <c r="CE74" s="12"/>
      <c r="CF74" s="98">
        <f t="shared" si="40"/>
        <v>0</v>
      </c>
      <c r="CG74" s="99">
        <f t="shared" si="41"/>
        <v>0</v>
      </c>
      <c r="CH74" s="98">
        <f t="shared" si="42"/>
        <v>0</v>
      </c>
      <c r="CI74" s="99">
        <f t="shared" si="43"/>
        <v>0</v>
      </c>
      <c r="CJ74" s="101"/>
      <c r="CK74" s="101"/>
      <c r="CL74" s="101"/>
      <c r="CQ74" s="108"/>
      <c r="CS74" s="102"/>
      <c r="CT74" s="103"/>
      <c r="CU74" s="82"/>
      <c r="CV74" s="105"/>
      <c r="CW74" s="82"/>
      <c r="CX74" s="82"/>
      <c r="CY74" s="82"/>
      <c r="CZ74" s="82"/>
      <c r="DA74" s="82"/>
      <c r="DB74" s="82"/>
      <c r="DC74" s="8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06"/>
      <c r="DP74" s="80"/>
      <c r="DQ74" s="80"/>
      <c r="DR74" s="110"/>
      <c r="DS74" s="80"/>
      <c r="DT74" s="80"/>
      <c r="DU74" s="80"/>
    </row>
    <row r="75" spans="1:125" ht="12.75" x14ac:dyDescent="0.2">
      <c r="A75" s="80">
        <f t="shared" si="44"/>
        <v>59</v>
      </c>
      <c r="B75" s="81"/>
      <c r="C75" s="82"/>
      <c r="D75" s="83" t="str">
        <f t="shared" si="24"/>
        <v/>
      </c>
      <c r="E75" s="84" t="str">
        <f t="shared" si="25"/>
        <v/>
      </c>
      <c r="F75" s="85">
        <f t="shared" si="26"/>
        <v>0</v>
      </c>
      <c r="G75" s="85">
        <f t="shared" si="9"/>
        <v>0</v>
      </c>
      <c r="H75" s="12"/>
      <c r="I75" s="12"/>
      <c r="J75" s="86">
        <f t="shared" si="48"/>
        <v>0</v>
      </c>
      <c r="K75" s="86">
        <f t="shared" si="48"/>
        <v>0</v>
      </c>
      <c r="L75" s="87"/>
      <c r="M75" s="87"/>
      <c r="N75" s="87"/>
      <c r="O75" s="87"/>
      <c r="P75" s="87"/>
      <c r="Q75" s="87"/>
      <c r="R75" s="87"/>
      <c r="S75" s="87"/>
      <c r="T75" s="86">
        <f t="shared" si="27"/>
        <v>0</v>
      </c>
      <c r="U75" s="86">
        <f t="shared" si="28"/>
        <v>0</v>
      </c>
      <c r="V75" s="105"/>
      <c r="W75" s="12"/>
      <c r="X75" s="89">
        <f t="shared" si="11"/>
        <v>0</v>
      </c>
      <c r="Y75" s="12"/>
      <c r="Z75" s="89">
        <f t="shared" si="12"/>
        <v>0</v>
      </c>
      <c r="AA75" s="90"/>
      <c r="AB75" s="91" t="str">
        <f t="shared" si="29"/>
        <v/>
      </c>
      <c r="AC75" s="83" t="str">
        <f t="shared" si="30"/>
        <v/>
      </c>
      <c r="AD75" s="83" t="str">
        <f t="shared" si="31"/>
        <v/>
      </c>
      <c r="AE75" s="83" t="str">
        <f t="shared" si="31"/>
        <v/>
      </c>
      <c r="AF75" s="80"/>
      <c r="AG75" s="27"/>
      <c r="AH75" s="27"/>
      <c r="AI75" s="27"/>
      <c r="AJ75" s="86">
        <f t="shared" si="32"/>
        <v>0</v>
      </c>
      <c r="AK75" s="86">
        <f t="shared" si="32"/>
        <v>0</v>
      </c>
      <c r="AL75" s="27"/>
      <c r="AM75" s="27"/>
      <c r="AN75" s="86">
        <f t="shared" si="33"/>
        <v>0</v>
      </c>
      <c r="AO75" s="86">
        <f t="shared" si="33"/>
        <v>0</v>
      </c>
      <c r="AP75" s="27"/>
      <c r="AQ75" s="27"/>
      <c r="AR75" s="86">
        <f t="shared" si="34"/>
        <v>0</v>
      </c>
      <c r="AS75" s="86">
        <f t="shared" si="34"/>
        <v>0</v>
      </c>
      <c r="AT75" s="27"/>
      <c r="AU75" s="94"/>
      <c r="AW75" s="89">
        <f t="shared" si="13"/>
        <v>0</v>
      </c>
      <c r="AX75" s="89">
        <f t="shared" si="14"/>
        <v>0</v>
      </c>
      <c r="AY75" s="89">
        <f t="shared" si="15"/>
        <v>0</v>
      </c>
      <c r="AZ75" s="89">
        <f t="shared" si="16"/>
        <v>0</v>
      </c>
      <c r="BB75" s="96">
        <f t="shared" si="49"/>
        <v>0</v>
      </c>
      <c r="BC75" s="96">
        <f t="shared" si="49"/>
        <v>0</v>
      </c>
      <c r="BD75" s="84" t="str">
        <f t="shared" si="50"/>
        <v/>
      </c>
      <c r="BE75" s="84" t="str">
        <f t="shared" si="50"/>
        <v/>
      </c>
      <c r="BF75" s="105"/>
      <c r="BG75" s="97" t="str">
        <f t="shared" si="19"/>
        <v/>
      </c>
      <c r="BH75" s="80"/>
      <c r="BI75" s="85">
        <f t="shared" si="51"/>
        <v>0</v>
      </c>
      <c r="BJ75" s="85">
        <f t="shared" si="51"/>
        <v>0</v>
      </c>
      <c r="BK75" s="12"/>
      <c r="BL75" s="12"/>
      <c r="BM75" s="98">
        <f t="shared" si="35"/>
        <v>0</v>
      </c>
      <c r="BN75" s="99">
        <f t="shared" si="36"/>
        <v>0</v>
      </c>
      <c r="BO75" s="98">
        <f t="shared" si="37"/>
        <v>0</v>
      </c>
      <c r="BP75" s="99">
        <f t="shared" si="38"/>
        <v>0</v>
      </c>
      <c r="BQ75" s="12"/>
      <c r="BR75" s="12"/>
      <c r="BS75" s="12"/>
      <c r="BT75" s="12"/>
      <c r="BU75" s="98">
        <f t="shared" si="46"/>
        <v>0</v>
      </c>
      <c r="BV75" s="99">
        <f t="shared" si="45"/>
        <v>0</v>
      </c>
      <c r="BW75" s="98">
        <f t="shared" si="47"/>
        <v>0</v>
      </c>
      <c r="BX75" s="99">
        <f t="shared" si="23"/>
        <v>0</v>
      </c>
      <c r="BY75" s="105"/>
      <c r="BZ75" s="85">
        <f t="shared" si="52"/>
        <v>0</v>
      </c>
      <c r="CA75" s="85">
        <f t="shared" si="52"/>
        <v>0</v>
      </c>
      <c r="CB75" s="80"/>
      <c r="CC75" s="105"/>
      <c r="CD75" s="12"/>
      <c r="CE75" s="12"/>
      <c r="CF75" s="98">
        <f t="shared" si="40"/>
        <v>0</v>
      </c>
      <c r="CG75" s="99">
        <f t="shared" si="41"/>
        <v>0</v>
      </c>
      <c r="CH75" s="98">
        <f t="shared" si="42"/>
        <v>0</v>
      </c>
      <c r="CI75" s="99">
        <f t="shared" si="43"/>
        <v>0</v>
      </c>
      <c r="CJ75" s="101"/>
      <c r="CK75" s="101"/>
      <c r="CL75" s="101"/>
      <c r="CQ75" s="108"/>
      <c r="CS75" s="102"/>
      <c r="CT75" s="103"/>
      <c r="CU75" s="82"/>
      <c r="CV75" s="105"/>
      <c r="CW75" s="82"/>
      <c r="CX75" s="82"/>
      <c r="CY75" s="82"/>
      <c r="CZ75" s="82"/>
      <c r="DA75" s="82"/>
      <c r="DB75" s="82"/>
      <c r="DC75" s="8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06"/>
      <c r="DP75" s="80"/>
      <c r="DQ75" s="80"/>
      <c r="DR75" s="110"/>
      <c r="DS75" s="80"/>
      <c r="DT75" s="80"/>
      <c r="DU75" s="80"/>
    </row>
    <row r="76" spans="1:125" ht="12.75" x14ac:dyDescent="0.2">
      <c r="A76" s="80">
        <f t="shared" si="44"/>
        <v>60</v>
      </c>
      <c r="B76" s="81"/>
      <c r="C76" s="82"/>
      <c r="D76" s="83" t="str">
        <f t="shared" si="24"/>
        <v/>
      </c>
      <c r="E76" s="84" t="str">
        <f t="shared" si="25"/>
        <v/>
      </c>
      <c r="F76" s="85">
        <f t="shared" si="26"/>
        <v>0</v>
      </c>
      <c r="G76" s="85">
        <f t="shared" si="9"/>
        <v>0</v>
      </c>
      <c r="H76" s="12"/>
      <c r="I76" s="12"/>
      <c r="J76" s="86">
        <f t="shared" si="48"/>
        <v>0</v>
      </c>
      <c r="K76" s="86">
        <f t="shared" si="48"/>
        <v>0</v>
      </c>
      <c r="L76" s="87"/>
      <c r="M76" s="87"/>
      <c r="N76" s="87"/>
      <c r="O76" s="87"/>
      <c r="P76" s="87"/>
      <c r="Q76" s="87"/>
      <c r="R76" s="87"/>
      <c r="S76" s="87"/>
      <c r="T76" s="86">
        <f t="shared" si="27"/>
        <v>0</v>
      </c>
      <c r="U76" s="86">
        <f t="shared" si="28"/>
        <v>0</v>
      </c>
      <c r="V76" s="105"/>
      <c r="W76" s="12"/>
      <c r="X76" s="89">
        <f t="shared" si="11"/>
        <v>0</v>
      </c>
      <c r="Y76" s="12"/>
      <c r="Z76" s="89">
        <f t="shared" si="12"/>
        <v>0</v>
      </c>
      <c r="AA76" s="90"/>
      <c r="AB76" s="91" t="str">
        <f t="shared" si="29"/>
        <v/>
      </c>
      <c r="AC76" s="83" t="str">
        <f t="shared" si="30"/>
        <v/>
      </c>
      <c r="AD76" s="83" t="str">
        <f t="shared" si="31"/>
        <v/>
      </c>
      <c r="AE76" s="83" t="str">
        <f t="shared" si="31"/>
        <v/>
      </c>
      <c r="AF76" s="80"/>
      <c r="AG76" s="27"/>
      <c r="AH76" s="27"/>
      <c r="AI76" s="27"/>
      <c r="AJ76" s="86">
        <f t="shared" si="32"/>
        <v>0</v>
      </c>
      <c r="AK76" s="86">
        <f t="shared" si="32"/>
        <v>0</v>
      </c>
      <c r="AL76" s="27"/>
      <c r="AM76" s="27"/>
      <c r="AN76" s="86">
        <f t="shared" si="33"/>
        <v>0</v>
      </c>
      <c r="AO76" s="86">
        <f t="shared" si="33"/>
        <v>0</v>
      </c>
      <c r="AP76" s="27"/>
      <c r="AQ76" s="27"/>
      <c r="AR76" s="86">
        <f t="shared" si="34"/>
        <v>0</v>
      </c>
      <c r="AS76" s="86">
        <f t="shared" si="34"/>
        <v>0</v>
      </c>
      <c r="AT76" s="27"/>
      <c r="AU76" s="94"/>
      <c r="AW76" s="89">
        <f t="shared" si="13"/>
        <v>0</v>
      </c>
      <c r="AX76" s="89">
        <f t="shared" si="14"/>
        <v>0</v>
      </c>
      <c r="AY76" s="89">
        <f t="shared" si="15"/>
        <v>0</v>
      </c>
      <c r="AZ76" s="89">
        <f t="shared" si="16"/>
        <v>0</v>
      </c>
      <c r="BB76" s="96">
        <f t="shared" si="49"/>
        <v>0</v>
      </c>
      <c r="BC76" s="96">
        <f t="shared" si="49"/>
        <v>0</v>
      </c>
      <c r="BD76" s="84" t="str">
        <f t="shared" si="50"/>
        <v/>
      </c>
      <c r="BE76" s="84" t="str">
        <f t="shared" si="50"/>
        <v/>
      </c>
      <c r="BF76" s="105"/>
      <c r="BG76" s="97" t="str">
        <f t="shared" si="19"/>
        <v/>
      </c>
      <c r="BH76" s="80"/>
      <c r="BI76" s="85">
        <f t="shared" si="51"/>
        <v>0</v>
      </c>
      <c r="BJ76" s="85">
        <f t="shared" si="51"/>
        <v>0</v>
      </c>
      <c r="BK76" s="12"/>
      <c r="BL76" s="12"/>
      <c r="BM76" s="98">
        <f t="shared" si="35"/>
        <v>0</v>
      </c>
      <c r="BN76" s="99">
        <f t="shared" si="36"/>
        <v>0</v>
      </c>
      <c r="BO76" s="98">
        <f t="shared" si="37"/>
        <v>0</v>
      </c>
      <c r="BP76" s="99">
        <f t="shared" si="38"/>
        <v>0</v>
      </c>
      <c r="BQ76" s="12"/>
      <c r="BR76" s="12"/>
      <c r="BS76" s="12"/>
      <c r="BT76" s="12"/>
      <c r="BU76" s="98">
        <f t="shared" si="46"/>
        <v>0</v>
      </c>
      <c r="BV76" s="99">
        <f t="shared" si="45"/>
        <v>0</v>
      </c>
      <c r="BW76" s="98">
        <f t="shared" si="47"/>
        <v>0</v>
      </c>
      <c r="BX76" s="99">
        <f t="shared" si="23"/>
        <v>0</v>
      </c>
      <c r="BY76" s="105"/>
      <c r="BZ76" s="85">
        <f t="shared" si="52"/>
        <v>0</v>
      </c>
      <c r="CA76" s="85">
        <f t="shared" si="52"/>
        <v>0</v>
      </c>
      <c r="CB76" s="80"/>
      <c r="CC76" s="105"/>
      <c r="CD76" s="12"/>
      <c r="CE76" s="12"/>
      <c r="CF76" s="98">
        <f t="shared" si="40"/>
        <v>0</v>
      </c>
      <c r="CG76" s="99">
        <f t="shared" si="41"/>
        <v>0</v>
      </c>
      <c r="CH76" s="98">
        <f t="shared" si="42"/>
        <v>0</v>
      </c>
      <c r="CI76" s="99">
        <f t="shared" si="43"/>
        <v>0</v>
      </c>
      <c r="CJ76" s="101"/>
      <c r="CK76" s="101"/>
      <c r="CL76" s="101"/>
      <c r="CQ76" s="108"/>
      <c r="CS76" s="102"/>
      <c r="CT76" s="103"/>
      <c r="CU76" s="82"/>
      <c r="CV76" s="105"/>
      <c r="CW76" s="82"/>
      <c r="CX76" s="82"/>
      <c r="CY76" s="82"/>
      <c r="CZ76" s="82"/>
      <c r="DA76" s="82"/>
      <c r="DB76" s="82"/>
      <c r="DC76" s="8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06"/>
      <c r="DP76" s="80"/>
      <c r="DQ76" s="80"/>
      <c r="DR76" s="110"/>
      <c r="DS76" s="80"/>
      <c r="DT76" s="80"/>
      <c r="DU76" s="80"/>
    </row>
    <row r="77" spans="1:125" ht="12.75" x14ac:dyDescent="0.2">
      <c r="A77" s="80">
        <f t="shared" si="44"/>
        <v>61</v>
      </c>
      <c r="B77" s="81"/>
      <c r="C77" s="82"/>
      <c r="D77" s="83" t="str">
        <f t="shared" si="24"/>
        <v/>
      </c>
      <c r="E77" s="84" t="str">
        <f t="shared" si="25"/>
        <v/>
      </c>
      <c r="F77" s="85">
        <f t="shared" si="26"/>
        <v>0</v>
      </c>
      <c r="G77" s="85">
        <f t="shared" si="9"/>
        <v>0</v>
      </c>
      <c r="H77" s="12"/>
      <c r="I77" s="12"/>
      <c r="J77" s="86">
        <f t="shared" si="48"/>
        <v>0</v>
      </c>
      <c r="K77" s="86">
        <f t="shared" si="48"/>
        <v>0</v>
      </c>
      <c r="L77" s="87"/>
      <c r="M77" s="87"/>
      <c r="N77" s="87"/>
      <c r="O77" s="87"/>
      <c r="P77" s="87"/>
      <c r="Q77" s="87"/>
      <c r="R77" s="87"/>
      <c r="S77" s="87"/>
      <c r="T77" s="86">
        <f t="shared" si="27"/>
        <v>0</v>
      </c>
      <c r="U77" s="86">
        <f t="shared" si="28"/>
        <v>0</v>
      </c>
      <c r="V77" s="105"/>
      <c r="W77" s="12"/>
      <c r="X77" s="89">
        <f t="shared" si="11"/>
        <v>0</v>
      </c>
      <c r="Y77" s="12"/>
      <c r="Z77" s="89">
        <f t="shared" si="12"/>
        <v>0</v>
      </c>
      <c r="AA77" s="90"/>
      <c r="AB77" s="91" t="str">
        <f t="shared" si="29"/>
        <v/>
      </c>
      <c r="AC77" s="83" t="str">
        <f t="shared" si="30"/>
        <v/>
      </c>
      <c r="AD77" s="83" t="str">
        <f t="shared" si="31"/>
        <v/>
      </c>
      <c r="AE77" s="83" t="str">
        <f t="shared" si="31"/>
        <v/>
      </c>
      <c r="AF77" s="80"/>
      <c r="AG77" s="27"/>
      <c r="AH77" s="27"/>
      <c r="AI77" s="27"/>
      <c r="AJ77" s="86">
        <f t="shared" si="32"/>
        <v>0</v>
      </c>
      <c r="AK77" s="86">
        <f t="shared" si="32"/>
        <v>0</v>
      </c>
      <c r="AL77" s="27"/>
      <c r="AM77" s="27"/>
      <c r="AN77" s="86">
        <f t="shared" si="33"/>
        <v>0</v>
      </c>
      <c r="AO77" s="86">
        <f t="shared" si="33"/>
        <v>0</v>
      </c>
      <c r="AP77" s="27"/>
      <c r="AQ77" s="27"/>
      <c r="AR77" s="86">
        <f t="shared" si="34"/>
        <v>0</v>
      </c>
      <c r="AS77" s="86">
        <f t="shared" si="34"/>
        <v>0</v>
      </c>
      <c r="AT77" s="27"/>
      <c r="AU77" s="94"/>
      <c r="AW77" s="89">
        <f t="shared" si="13"/>
        <v>0</v>
      </c>
      <c r="AX77" s="89">
        <f t="shared" si="14"/>
        <v>0</v>
      </c>
      <c r="AY77" s="89">
        <f t="shared" si="15"/>
        <v>0</v>
      </c>
      <c r="AZ77" s="89">
        <f t="shared" si="16"/>
        <v>0</v>
      </c>
      <c r="BB77" s="96">
        <f t="shared" si="49"/>
        <v>0</v>
      </c>
      <c r="BC77" s="96">
        <f t="shared" si="49"/>
        <v>0</v>
      </c>
      <c r="BD77" s="84" t="str">
        <f t="shared" si="50"/>
        <v/>
      </c>
      <c r="BE77" s="84" t="str">
        <f t="shared" si="50"/>
        <v/>
      </c>
      <c r="BF77" s="105"/>
      <c r="BG77" s="97" t="str">
        <f t="shared" si="19"/>
        <v/>
      </c>
      <c r="BH77" s="80"/>
      <c r="BI77" s="85">
        <f t="shared" si="51"/>
        <v>0</v>
      </c>
      <c r="BJ77" s="85">
        <f t="shared" si="51"/>
        <v>0</v>
      </c>
      <c r="BK77" s="12"/>
      <c r="BL77" s="12"/>
      <c r="BM77" s="98">
        <f t="shared" si="35"/>
        <v>0</v>
      </c>
      <c r="BN77" s="99">
        <f t="shared" si="36"/>
        <v>0</v>
      </c>
      <c r="BO77" s="98">
        <f t="shared" si="37"/>
        <v>0</v>
      </c>
      <c r="BP77" s="99">
        <f t="shared" si="38"/>
        <v>0</v>
      </c>
      <c r="BQ77" s="12"/>
      <c r="BR77" s="12"/>
      <c r="BS77" s="12"/>
      <c r="BT77" s="12"/>
      <c r="BU77" s="98">
        <f t="shared" si="46"/>
        <v>0</v>
      </c>
      <c r="BV77" s="99">
        <f t="shared" si="45"/>
        <v>0</v>
      </c>
      <c r="BW77" s="98">
        <f t="shared" si="47"/>
        <v>0</v>
      </c>
      <c r="BX77" s="99">
        <f t="shared" si="23"/>
        <v>0</v>
      </c>
      <c r="BY77" s="105"/>
      <c r="BZ77" s="85">
        <f t="shared" si="52"/>
        <v>0</v>
      </c>
      <c r="CA77" s="85">
        <f t="shared" si="52"/>
        <v>0</v>
      </c>
      <c r="CB77" s="80"/>
      <c r="CC77" s="105"/>
      <c r="CD77" s="12"/>
      <c r="CE77" s="12"/>
      <c r="CF77" s="98">
        <f t="shared" si="40"/>
        <v>0</v>
      </c>
      <c r="CG77" s="99">
        <f t="shared" si="41"/>
        <v>0</v>
      </c>
      <c r="CH77" s="98">
        <f t="shared" si="42"/>
        <v>0</v>
      </c>
      <c r="CI77" s="99">
        <f t="shared" si="43"/>
        <v>0</v>
      </c>
      <c r="CJ77" s="101"/>
      <c r="CK77" s="101"/>
      <c r="CL77" s="101"/>
      <c r="CQ77" s="108"/>
      <c r="CS77" s="102"/>
      <c r="CT77" s="103"/>
      <c r="CU77" s="82"/>
      <c r="CV77" s="105"/>
      <c r="CW77" s="82"/>
      <c r="CX77" s="82"/>
      <c r="CY77" s="82"/>
      <c r="CZ77" s="82"/>
      <c r="DA77" s="82"/>
      <c r="DB77" s="82"/>
      <c r="DC77" s="8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06"/>
      <c r="DP77" s="80"/>
      <c r="DQ77" s="80"/>
      <c r="DR77" s="110"/>
      <c r="DS77" s="80"/>
      <c r="DT77" s="80"/>
      <c r="DU77" s="80"/>
    </row>
    <row r="78" spans="1:125" ht="12.75" x14ac:dyDescent="0.2">
      <c r="A78" s="80">
        <f t="shared" si="44"/>
        <v>62</v>
      </c>
      <c r="B78" s="81"/>
      <c r="C78" s="82"/>
      <c r="D78" s="83" t="str">
        <f t="shared" si="24"/>
        <v/>
      </c>
      <c r="E78" s="84" t="str">
        <f t="shared" si="25"/>
        <v/>
      </c>
      <c r="F78" s="85">
        <f t="shared" si="26"/>
        <v>0</v>
      </c>
      <c r="G78" s="85">
        <f t="shared" si="9"/>
        <v>0</v>
      </c>
      <c r="H78" s="12"/>
      <c r="I78" s="12"/>
      <c r="J78" s="86">
        <f t="shared" si="48"/>
        <v>0</v>
      </c>
      <c r="K78" s="86">
        <f t="shared" si="48"/>
        <v>0</v>
      </c>
      <c r="L78" s="87"/>
      <c r="M78" s="87"/>
      <c r="N78" s="87"/>
      <c r="O78" s="87"/>
      <c r="P78" s="87"/>
      <c r="Q78" s="87"/>
      <c r="R78" s="87"/>
      <c r="S78" s="87"/>
      <c r="T78" s="86">
        <f t="shared" si="27"/>
        <v>0</v>
      </c>
      <c r="U78" s="86">
        <f t="shared" si="28"/>
        <v>0</v>
      </c>
      <c r="V78" s="105"/>
      <c r="W78" s="12"/>
      <c r="X78" s="89">
        <f t="shared" si="11"/>
        <v>0</v>
      </c>
      <c r="Y78" s="12"/>
      <c r="Z78" s="89">
        <f t="shared" si="12"/>
        <v>0</v>
      </c>
      <c r="AA78" s="90"/>
      <c r="AB78" s="91" t="str">
        <f t="shared" si="29"/>
        <v/>
      </c>
      <c r="AC78" s="83" t="str">
        <f t="shared" si="30"/>
        <v/>
      </c>
      <c r="AD78" s="83" t="str">
        <f t="shared" si="31"/>
        <v/>
      </c>
      <c r="AE78" s="83" t="str">
        <f t="shared" si="31"/>
        <v/>
      </c>
      <c r="AF78" s="80"/>
      <c r="AG78" s="27"/>
      <c r="AH78" s="27"/>
      <c r="AI78" s="27"/>
      <c r="AJ78" s="86">
        <f t="shared" si="32"/>
        <v>0</v>
      </c>
      <c r="AK78" s="86">
        <f t="shared" si="32"/>
        <v>0</v>
      </c>
      <c r="AL78" s="27"/>
      <c r="AM78" s="27"/>
      <c r="AN78" s="86">
        <f t="shared" si="33"/>
        <v>0</v>
      </c>
      <c r="AO78" s="86">
        <f t="shared" si="33"/>
        <v>0</v>
      </c>
      <c r="AP78" s="27"/>
      <c r="AQ78" s="27"/>
      <c r="AR78" s="86">
        <f t="shared" si="34"/>
        <v>0</v>
      </c>
      <c r="AS78" s="86">
        <f t="shared" si="34"/>
        <v>0</v>
      </c>
      <c r="AT78" s="27"/>
      <c r="AU78" s="94"/>
      <c r="AW78" s="89">
        <f t="shared" si="13"/>
        <v>0</v>
      </c>
      <c r="AX78" s="89">
        <f t="shared" si="14"/>
        <v>0</v>
      </c>
      <c r="AY78" s="89">
        <f t="shared" si="15"/>
        <v>0</v>
      </c>
      <c r="AZ78" s="89">
        <f t="shared" si="16"/>
        <v>0</v>
      </c>
      <c r="BB78" s="96">
        <f t="shared" si="49"/>
        <v>0</v>
      </c>
      <c r="BC78" s="96">
        <f t="shared" si="49"/>
        <v>0</v>
      </c>
      <c r="BD78" s="84" t="str">
        <f t="shared" si="50"/>
        <v/>
      </c>
      <c r="BE78" s="84" t="str">
        <f t="shared" si="50"/>
        <v/>
      </c>
      <c r="BF78" s="105"/>
      <c r="BG78" s="97" t="str">
        <f t="shared" si="19"/>
        <v/>
      </c>
      <c r="BH78" s="80"/>
      <c r="BI78" s="85">
        <f t="shared" si="51"/>
        <v>0</v>
      </c>
      <c r="BJ78" s="85">
        <f t="shared" si="51"/>
        <v>0</v>
      </c>
      <c r="BK78" s="12"/>
      <c r="BL78" s="12"/>
      <c r="BM78" s="98">
        <f t="shared" si="35"/>
        <v>0</v>
      </c>
      <c r="BN78" s="99">
        <f t="shared" si="36"/>
        <v>0</v>
      </c>
      <c r="BO78" s="98">
        <f t="shared" si="37"/>
        <v>0</v>
      </c>
      <c r="BP78" s="99">
        <f t="shared" si="38"/>
        <v>0</v>
      </c>
      <c r="BQ78" s="12"/>
      <c r="BR78" s="12"/>
      <c r="BS78" s="12"/>
      <c r="BT78" s="12"/>
      <c r="BU78" s="98">
        <f t="shared" si="46"/>
        <v>0</v>
      </c>
      <c r="BV78" s="99">
        <f t="shared" si="45"/>
        <v>0</v>
      </c>
      <c r="BW78" s="98">
        <f t="shared" si="47"/>
        <v>0</v>
      </c>
      <c r="BX78" s="99">
        <f t="shared" si="23"/>
        <v>0</v>
      </c>
      <c r="BY78" s="105"/>
      <c r="BZ78" s="85">
        <f t="shared" si="52"/>
        <v>0</v>
      </c>
      <c r="CA78" s="85">
        <f t="shared" si="52"/>
        <v>0</v>
      </c>
      <c r="CB78" s="80"/>
      <c r="CC78" s="105"/>
      <c r="CD78" s="12"/>
      <c r="CE78" s="12"/>
      <c r="CF78" s="98">
        <f t="shared" si="40"/>
        <v>0</v>
      </c>
      <c r="CG78" s="99">
        <f t="shared" si="41"/>
        <v>0</v>
      </c>
      <c r="CH78" s="98">
        <f t="shared" si="42"/>
        <v>0</v>
      </c>
      <c r="CI78" s="99">
        <f t="shared" si="43"/>
        <v>0</v>
      </c>
      <c r="CJ78" s="101"/>
      <c r="CK78" s="101"/>
      <c r="CL78" s="101"/>
      <c r="CQ78" s="108"/>
      <c r="CS78" s="102"/>
      <c r="CT78" s="103"/>
      <c r="CU78" s="82"/>
      <c r="CV78" s="105"/>
      <c r="CW78" s="82"/>
      <c r="CX78" s="82"/>
      <c r="CY78" s="82"/>
      <c r="CZ78" s="82"/>
      <c r="DA78" s="82"/>
      <c r="DB78" s="82"/>
      <c r="DC78" s="8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06"/>
      <c r="DP78" s="80"/>
      <c r="DQ78" s="80"/>
      <c r="DR78" s="110"/>
      <c r="DS78" s="80"/>
      <c r="DT78" s="80"/>
      <c r="DU78" s="80"/>
    </row>
    <row r="79" spans="1:125" ht="12.75" x14ac:dyDescent="0.2">
      <c r="A79" s="80">
        <f t="shared" si="44"/>
        <v>63</v>
      </c>
      <c r="B79" s="81"/>
      <c r="C79" s="82"/>
      <c r="D79" s="83" t="str">
        <f t="shared" si="24"/>
        <v/>
      </c>
      <c r="E79" s="84" t="str">
        <f t="shared" si="25"/>
        <v/>
      </c>
      <c r="F79" s="85">
        <f t="shared" si="26"/>
        <v>0</v>
      </c>
      <c r="G79" s="85">
        <f t="shared" si="9"/>
        <v>0</v>
      </c>
      <c r="H79" s="12"/>
      <c r="I79" s="12"/>
      <c r="J79" s="86">
        <f t="shared" si="48"/>
        <v>0</v>
      </c>
      <c r="K79" s="86">
        <f t="shared" si="48"/>
        <v>0</v>
      </c>
      <c r="L79" s="87"/>
      <c r="M79" s="87"/>
      <c r="N79" s="87"/>
      <c r="O79" s="87"/>
      <c r="P79" s="87"/>
      <c r="Q79" s="87"/>
      <c r="R79" s="87"/>
      <c r="S79" s="87"/>
      <c r="T79" s="86">
        <f t="shared" si="27"/>
        <v>0</v>
      </c>
      <c r="U79" s="86">
        <f t="shared" si="28"/>
        <v>0</v>
      </c>
      <c r="V79" s="105"/>
      <c r="W79" s="12"/>
      <c r="X79" s="89">
        <f t="shared" si="11"/>
        <v>0</v>
      </c>
      <c r="Y79" s="12"/>
      <c r="Z79" s="89">
        <f t="shared" si="12"/>
        <v>0</v>
      </c>
      <c r="AA79" s="90"/>
      <c r="AB79" s="91" t="str">
        <f t="shared" si="29"/>
        <v/>
      </c>
      <c r="AC79" s="83" t="str">
        <f t="shared" si="30"/>
        <v/>
      </c>
      <c r="AD79" s="83" t="str">
        <f t="shared" si="31"/>
        <v/>
      </c>
      <c r="AE79" s="83" t="str">
        <f t="shared" si="31"/>
        <v/>
      </c>
      <c r="AF79" s="80"/>
      <c r="AG79" s="27"/>
      <c r="AH79" s="27"/>
      <c r="AI79" s="27"/>
      <c r="AJ79" s="86">
        <f t="shared" si="32"/>
        <v>0</v>
      </c>
      <c r="AK79" s="86">
        <f t="shared" si="32"/>
        <v>0</v>
      </c>
      <c r="AL79" s="27"/>
      <c r="AM79" s="27"/>
      <c r="AN79" s="86">
        <f t="shared" si="33"/>
        <v>0</v>
      </c>
      <c r="AO79" s="86">
        <f t="shared" si="33"/>
        <v>0</v>
      </c>
      <c r="AP79" s="27"/>
      <c r="AQ79" s="27"/>
      <c r="AR79" s="86">
        <f t="shared" si="34"/>
        <v>0</v>
      </c>
      <c r="AS79" s="86">
        <f t="shared" si="34"/>
        <v>0</v>
      </c>
      <c r="AT79" s="27"/>
      <c r="AU79" s="94"/>
      <c r="AW79" s="89">
        <f t="shared" si="13"/>
        <v>0</v>
      </c>
      <c r="AX79" s="89">
        <f t="shared" si="14"/>
        <v>0</v>
      </c>
      <c r="AY79" s="89">
        <f t="shared" si="15"/>
        <v>0</v>
      </c>
      <c r="AZ79" s="89">
        <f t="shared" si="16"/>
        <v>0</v>
      </c>
      <c r="BB79" s="96">
        <f t="shared" si="49"/>
        <v>0</v>
      </c>
      <c r="BC79" s="96">
        <f t="shared" si="49"/>
        <v>0</v>
      </c>
      <c r="BD79" s="84" t="str">
        <f t="shared" si="50"/>
        <v/>
      </c>
      <c r="BE79" s="84" t="str">
        <f t="shared" si="50"/>
        <v/>
      </c>
      <c r="BF79" s="105"/>
      <c r="BG79" s="97" t="str">
        <f t="shared" si="19"/>
        <v/>
      </c>
      <c r="BH79" s="80"/>
      <c r="BI79" s="85">
        <f t="shared" si="51"/>
        <v>0</v>
      </c>
      <c r="BJ79" s="85">
        <f t="shared" si="51"/>
        <v>0</v>
      </c>
      <c r="BK79" s="12"/>
      <c r="BL79" s="12"/>
      <c r="BM79" s="98">
        <f t="shared" si="35"/>
        <v>0</v>
      </c>
      <c r="BN79" s="99">
        <f t="shared" si="36"/>
        <v>0</v>
      </c>
      <c r="BO79" s="98">
        <f t="shared" si="37"/>
        <v>0</v>
      </c>
      <c r="BP79" s="99">
        <f t="shared" si="38"/>
        <v>0</v>
      </c>
      <c r="BQ79" s="12"/>
      <c r="BR79" s="12"/>
      <c r="BS79" s="12"/>
      <c r="BT79" s="12"/>
      <c r="BU79" s="98">
        <f t="shared" si="46"/>
        <v>0</v>
      </c>
      <c r="BV79" s="99">
        <f t="shared" si="45"/>
        <v>0</v>
      </c>
      <c r="BW79" s="98">
        <f t="shared" si="47"/>
        <v>0</v>
      </c>
      <c r="BX79" s="99">
        <f t="shared" si="23"/>
        <v>0</v>
      </c>
      <c r="BY79" s="105"/>
      <c r="BZ79" s="85">
        <f t="shared" si="52"/>
        <v>0</v>
      </c>
      <c r="CA79" s="85">
        <f t="shared" si="52"/>
        <v>0</v>
      </c>
      <c r="CB79" s="80"/>
      <c r="CC79" s="105"/>
      <c r="CD79" s="12"/>
      <c r="CE79" s="12"/>
      <c r="CF79" s="98">
        <f t="shared" si="40"/>
        <v>0</v>
      </c>
      <c r="CG79" s="99">
        <f t="shared" si="41"/>
        <v>0</v>
      </c>
      <c r="CH79" s="98">
        <f t="shared" si="42"/>
        <v>0</v>
      </c>
      <c r="CI79" s="99">
        <f t="shared" si="43"/>
        <v>0</v>
      </c>
      <c r="CJ79" s="101"/>
      <c r="CK79" s="101"/>
      <c r="CL79" s="101"/>
      <c r="CQ79" s="108"/>
      <c r="CS79" s="102"/>
      <c r="CT79" s="103"/>
      <c r="CU79" s="82"/>
      <c r="CV79" s="105"/>
      <c r="CW79" s="82"/>
      <c r="CX79" s="82"/>
      <c r="CY79" s="82"/>
      <c r="CZ79" s="82"/>
      <c r="DA79" s="82"/>
      <c r="DB79" s="82"/>
      <c r="DC79" s="8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06"/>
      <c r="DP79" s="80"/>
      <c r="DQ79" s="80"/>
      <c r="DR79" s="110"/>
      <c r="DS79" s="80"/>
      <c r="DT79" s="80"/>
      <c r="DU79" s="80"/>
    </row>
    <row r="80" spans="1:125" ht="12.75" x14ac:dyDescent="0.2">
      <c r="A80" s="80">
        <f t="shared" si="44"/>
        <v>64</v>
      </c>
      <c r="B80" s="81"/>
      <c r="C80" s="82"/>
      <c r="D80" s="83" t="str">
        <f t="shared" si="24"/>
        <v/>
      </c>
      <c r="E80" s="84" t="str">
        <f t="shared" si="25"/>
        <v/>
      </c>
      <c r="F80" s="85">
        <f t="shared" si="26"/>
        <v>0</v>
      </c>
      <c r="G80" s="85">
        <f t="shared" si="9"/>
        <v>0</v>
      </c>
      <c r="H80" s="12"/>
      <c r="I80" s="12"/>
      <c r="J80" s="86">
        <f t="shared" si="48"/>
        <v>0</v>
      </c>
      <c r="K80" s="86">
        <f t="shared" si="48"/>
        <v>0</v>
      </c>
      <c r="L80" s="87"/>
      <c r="M80" s="87"/>
      <c r="N80" s="87"/>
      <c r="O80" s="87"/>
      <c r="P80" s="87"/>
      <c r="Q80" s="87"/>
      <c r="R80" s="87"/>
      <c r="S80" s="87"/>
      <c r="T80" s="86">
        <f t="shared" si="27"/>
        <v>0</v>
      </c>
      <c r="U80" s="86">
        <f t="shared" si="28"/>
        <v>0</v>
      </c>
      <c r="V80" s="105"/>
      <c r="W80" s="12"/>
      <c r="X80" s="89">
        <f t="shared" si="11"/>
        <v>0</v>
      </c>
      <c r="Y80" s="12"/>
      <c r="Z80" s="89">
        <f t="shared" si="12"/>
        <v>0</v>
      </c>
      <c r="AA80" s="90"/>
      <c r="AB80" s="91" t="str">
        <f t="shared" si="29"/>
        <v/>
      </c>
      <c r="AC80" s="83" t="str">
        <f t="shared" si="30"/>
        <v/>
      </c>
      <c r="AD80" s="83" t="str">
        <f t="shared" si="31"/>
        <v/>
      </c>
      <c r="AE80" s="83" t="str">
        <f t="shared" si="31"/>
        <v/>
      </c>
      <c r="AF80" s="80"/>
      <c r="AG80" s="27"/>
      <c r="AH80" s="27"/>
      <c r="AI80" s="27"/>
      <c r="AJ80" s="86">
        <f t="shared" si="32"/>
        <v>0</v>
      </c>
      <c r="AK80" s="86">
        <f t="shared" si="32"/>
        <v>0</v>
      </c>
      <c r="AL80" s="27"/>
      <c r="AM80" s="27"/>
      <c r="AN80" s="86">
        <f t="shared" si="33"/>
        <v>0</v>
      </c>
      <c r="AO80" s="86">
        <f t="shared" si="33"/>
        <v>0</v>
      </c>
      <c r="AP80" s="27"/>
      <c r="AQ80" s="27"/>
      <c r="AR80" s="86">
        <f t="shared" si="34"/>
        <v>0</v>
      </c>
      <c r="AS80" s="86">
        <f t="shared" si="34"/>
        <v>0</v>
      </c>
      <c r="AT80" s="27"/>
      <c r="AU80" s="94"/>
      <c r="AW80" s="89">
        <f t="shared" si="13"/>
        <v>0</v>
      </c>
      <c r="AX80" s="89">
        <f t="shared" si="14"/>
        <v>0</v>
      </c>
      <c r="AY80" s="89">
        <f t="shared" si="15"/>
        <v>0</v>
      </c>
      <c r="AZ80" s="89">
        <f t="shared" si="16"/>
        <v>0</v>
      </c>
      <c r="BB80" s="96">
        <f t="shared" si="49"/>
        <v>0</v>
      </c>
      <c r="BC80" s="96">
        <f t="shared" si="49"/>
        <v>0</v>
      </c>
      <c r="BD80" s="84" t="str">
        <f t="shared" si="50"/>
        <v/>
      </c>
      <c r="BE80" s="84" t="str">
        <f t="shared" si="50"/>
        <v/>
      </c>
      <c r="BF80" s="105"/>
      <c r="BG80" s="97" t="str">
        <f t="shared" si="19"/>
        <v/>
      </c>
      <c r="BH80" s="80"/>
      <c r="BI80" s="85">
        <f t="shared" si="51"/>
        <v>0</v>
      </c>
      <c r="BJ80" s="85">
        <f t="shared" si="51"/>
        <v>0</v>
      </c>
      <c r="BK80" s="12"/>
      <c r="BL80" s="12"/>
      <c r="BM80" s="98">
        <f t="shared" si="35"/>
        <v>0</v>
      </c>
      <c r="BN80" s="99">
        <f t="shared" si="36"/>
        <v>0</v>
      </c>
      <c r="BO80" s="98">
        <f t="shared" si="37"/>
        <v>0</v>
      </c>
      <c r="BP80" s="99">
        <f t="shared" si="38"/>
        <v>0</v>
      </c>
      <c r="BQ80" s="12"/>
      <c r="BR80" s="12"/>
      <c r="BS80" s="12"/>
      <c r="BT80" s="12"/>
      <c r="BU80" s="98">
        <f t="shared" si="46"/>
        <v>0</v>
      </c>
      <c r="BV80" s="99">
        <f t="shared" si="45"/>
        <v>0</v>
      </c>
      <c r="BW80" s="98">
        <f t="shared" si="47"/>
        <v>0</v>
      </c>
      <c r="BX80" s="99">
        <f t="shared" si="23"/>
        <v>0</v>
      </c>
      <c r="BY80" s="105"/>
      <c r="BZ80" s="85">
        <f t="shared" si="52"/>
        <v>0</v>
      </c>
      <c r="CA80" s="85">
        <f t="shared" si="52"/>
        <v>0</v>
      </c>
      <c r="CB80" s="80"/>
      <c r="CC80" s="105"/>
      <c r="CD80" s="12"/>
      <c r="CE80" s="12"/>
      <c r="CF80" s="98">
        <f t="shared" si="40"/>
        <v>0</v>
      </c>
      <c r="CG80" s="99">
        <f t="shared" si="41"/>
        <v>0</v>
      </c>
      <c r="CH80" s="98">
        <f t="shared" si="42"/>
        <v>0</v>
      </c>
      <c r="CI80" s="99">
        <f t="shared" si="43"/>
        <v>0</v>
      </c>
      <c r="CJ80" s="101"/>
      <c r="CK80" s="101"/>
      <c r="CL80" s="101"/>
      <c r="CQ80" s="108"/>
      <c r="CS80" s="102"/>
      <c r="CT80" s="103"/>
      <c r="CU80" s="82"/>
      <c r="CV80" s="105"/>
      <c r="CW80" s="82"/>
      <c r="CX80" s="82"/>
      <c r="CY80" s="82"/>
      <c r="CZ80" s="82"/>
      <c r="DA80" s="82"/>
      <c r="DB80" s="82"/>
      <c r="DC80" s="8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06"/>
      <c r="DP80" s="80"/>
      <c r="DQ80" s="80"/>
      <c r="DR80" s="110"/>
      <c r="DS80" s="80"/>
      <c r="DT80" s="80"/>
      <c r="DU80" s="80"/>
    </row>
    <row r="81" spans="1:125" ht="12.75" x14ac:dyDescent="0.2">
      <c r="A81" s="80">
        <f t="shared" si="44"/>
        <v>65</v>
      </c>
      <c r="B81" s="81"/>
      <c r="C81" s="82"/>
      <c r="D81" s="83" t="str">
        <f t="shared" si="24"/>
        <v/>
      </c>
      <c r="E81" s="84" t="str">
        <f t="shared" si="25"/>
        <v/>
      </c>
      <c r="F81" s="85">
        <f t="shared" si="26"/>
        <v>0</v>
      </c>
      <c r="G81" s="85">
        <f t="shared" si="26"/>
        <v>0</v>
      </c>
      <c r="H81" s="12"/>
      <c r="I81" s="12"/>
      <c r="J81" s="86">
        <f t="shared" si="48"/>
        <v>0</v>
      </c>
      <c r="K81" s="86">
        <f t="shared" si="48"/>
        <v>0</v>
      </c>
      <c r="L81" s="87"/>
      <c r="M81" s="87"/>
      <c r="N81" s="87"/>
      <c r="O81" s="87"/>
      <c r="P81" s="87"/>
      <c r="Q81" s="87"/>
      <c r="R81" s="87"/>
      <c r="S81" s="87"/>
      <c r="T81" s="86">
        <f t="shared" si="27"/>
        <v>0</v>
      </c>
      <c r="U81" s="86">
        <f t="shared" si="28"/>
        <v>0</v>
      </c>
      <c r="V81" s="105"/>
      <c r="W81" s="12"/>
      <c r="X81" s="89">
        <f t="shared" ref="X81:X96" si="53">IF(OR(W81=0,AND(T81&gt;0,T81&gt;=W81,W81&gt;0),AND(T81&lt;0,T81&lt;=W81,W81&lt;0)),0,1)</f>
        <v>0</v>
      </c>
      <c r="Y81" s="12"/>
      <c r="Z81" s="89">
        <f t="shared" ref="Z81:Z96" si="54">IF(OR(Y81=0,AND(U81&gt;0,U81&gt;=Y81,Y81&gt;0),AND(U81&lt;0,U81&lt;=Y81,Y81&lt;0)),0,1)</f>
        <v>0</v>
      </c>
      <c r="AA81" s="90"/>
      <c r="AB81" s="91" t="str">
        <f t="shared" si="29"/>
        <v/>
      </c>
      <c r="AC81" s="83" t="str">
        <f t="shared" si="30"/>
        <v/>
      </c>
      <c r="AD81" s="83" t="str">
        <f t="shared" si="31"/>
        <v/>
      </c>
      <c r="AE81" s="83" t="str">
        <f t="shared" si="31"/>
        <v/>
      </c>
      <c r="AF81" s="80"/>
      <c r="AG81" s="27"/>
      <c r="AH81" s="27"/>
      <c r="AI81" s="27"/>
      <c r="AJ81" s="86">
        <f t="shared" si="32"/>
        <v>0</v>
      </c>
      <c r="AK81" s="86">
        <f t="shared" si="32"/>
        <v>0</v>
      </c>
      <c r="AL81" s="27"/>
      <c r="AM81" s="27"/>
      <c r="AN81" s="86">
        <f t="shared" si="33"/>
        <v>0</v>
      </c>
      <c r="AO81" s="86">
        <f t="shared" si="33"/>
        <v>0</v>
      </c>
      <c r="AP81" s="27"/>
      <c r="AQ81" s="27"/>
      <c r="AR81" s="86">
        <f t="shared" si="34"/>
        <v>0</v>
      </c>
      <c r="AS81" s="86">
        <f t="shared" si="34"/>
        <v>0</v>
      </c>
      <c r="AT81" s="27"/>
      <c r="AU81" s="94"/>
      <c r="AW81" s="89">
        <f t="shared" ref="AW81:AW96" si="55">IF(OR(AND(AA81="",AB81="",AF81=""),AND(AA81&lt;&gt;"",AB81="",AF81=""),AND(AA81="",AB81&lt;&gt;"",AF81&lt;&gt;"")),0,1)</f>
        <v>0</v>
      </c>
      <c r="AX81" s="89">
        <f t="shared" ref="AX81:AX96" si="56">IF(OR(AND(W81="",Y81="",AA81=""),AND(AA81&lt;&gt;"",W81="",Y81=""),AND(AA81="",OR(W81&lt;&gt;"",Y81&lt;&gt;""))),0,1)</f>
        <v>0</v>
      </c>
      <c r="AY81" s="89">
        <f t="shared" ref="AY81:AY96" si="57">IF(AND(T81=0,V81=""),0,IF(AND(OR(T81&gt;0,T81&lt;0),V81=""),1,0))</f>
        <v>0</v>
      </c>
      <c r="AZ81" s="89">
        <f t="shared" ref="AZ81:AZ96" si="58">IF(AND(U81=0,V81=""),0,IF(AND(OR(U81&gt;0,U81&lt;0),V81=""),1,0))</f>
        <v>0</v>
      </c>
      <c r="BB81" s="96">
        <f t="shared" si="49"/>
        <v>0</v>
      </c>
      <c r="BC81" s="96">
        <f t="shared" si="49"/>
        <v>0</v>
      </c>
      <c r="BD81" s="84" t="str">
        <f t="shared" si="50"/>
        <v/>
      </c>
      <c r="BE81" s="84" t="str">
        <f t="shared" si="50"/>
        <v/>
      </c>
      <c r="BF81" s="105"/>
      <c r="BG81" s="97" t="str">
        <f t="shared" ref="BG81:BG96" si="59">IF(DR81="","",DR81)</f>
        <v/>
      </c>
      <c r="BH81" s="80"/>
      <c r="BI81" s="85">
        <f t="shared" si="51"/>
        <v>0</v>
      </c>
      <c r="BJ81" s="85">
        <f t="shared" si="51"/>
        <v>0</v>
      </c>
      <c r="BK81" s="12"/>
      <c r="BL81" s="12"/>
      <c r="BM81" s="98">
        <f t="shared" si="35"/>
        <v>0</v>
      </c>
      <c r="BN81" s="99">
        <f t="shared" si="36"/>
        <v>0</v>
      </c>
      <c r="BO81" s="98">
        <f t="shared" si="37"/>
        <v>0</v>
      </c>
      <c r="BP81" s="99">
        <f t="shared" si="38"/>
        <v>0</v>
      </c>
      <c r="BQ81" s="12"/>
      <c r="BR81" s="12"/>
      <c r="BS81" s="12"/>
      <c r="BT81" s="12"/>
      <c r="BU81" s="98">
        <f t="shared" si="46"/>
        <v>0</v>
      </c>
      <c r="BV81" s="99">
        <f t="shared" si="45"/>
        <v>0</v>
      </c>
      <c r="BW81" s="98">
        <f t="shared" si="47"/>
        <v>0</v>
      </c>
      <c r="BX81" s="99">
        <f t="shared" ref="BX81:BX96" si="60">IF(BW81&lt;0,"!!! Отрицательное сальдо не допустимо",0)</f>
        <v>0</v>
      </c>
      <c r="BY81" s="105"/>
      <c r="BZ81" s="85">
        <f t="shared" si="52"/>
        <v>0</v>
      </c>
      <c r="CA81" s="85">
        <f t="shared" si="52"/>
        <v>0</v>
      </c>
      <c r="CB81" s="80"/>
      <c r="CC81" s="105"/>
      <c r="CD81" s="12"/>
      <c r="CE81" s="12"/>
      <c r="CF81" s="98">
        <f t="shared" si="40"/>
        <v>0</v>
      </c>
      <c r="CG81" s="99">
        <f t="shared" si="41"/>
        <v>0</v>
      </c>
      <c r="CH81" s="98">
        <f t="shared" si="42"/>
        <v>0</v>
      </c>
      <c r="CI81" s="99">
        <f t="shared" si="43"/>
        <v>0</v>
      </c>
      <c r="CJ81" s="101"/>
      <c r="CK81" s="101"/>
      <c r="CL81" s="101"/>
      <c r="CQ81" s="108"/>
      <c r="CS81" s="102"/>
      <c r="CT81" s="103"/>
      <c r="CU81" s="82"/>
      <c r="CV81" s="105"/>
      <c r="CW81" s="82"/>
      <c r="CX81" s="82"/>
      <c r="CY81" s="82"/>
      <c r="CZ81" s="82"/>
      <c r="DA81" s="82"/>
      <c r="DB81" s="82"/>
      <c r="DC81" s="8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06"/>
      <c r="DP81" s="80"/>
      <c r="DQ81" s="80"/>
      <c r="DR81" s="110"/>
      <c r="DS81" s="80"/>
      <c r="DT81" s="80"/>
      <c r="DU81" s="80"/>
    </row>
    <row r="82" spans="1:125" ht="12.75" x14ac:dyDescent="0.2">
      <c r="A82" s="80">
        <f t="shared" si="44"/>
        <v>66</v>
      </c>
      <c r="B82" s="81"/>
      <c r="C82" s="82"/>
      <c r="D82" s="83" t="str">
        <f t="shared" ref="D82:D96" si="61">IF(DE82="","",DE82)</f>
        <v/>
      </c>
      <c r="E82" s="84" t="str">
        <f t="shared" ref="E82:E96" si="62">IF(CU82="","",CU82)</f>
        <v/>
      </c>
      <c r="F82" s="85">
        <f t="shared" ref="F82:G96" si="63">DM82</f>
        <v>0</v>
      </c>
      <c r="G82" s="85">
        <f t="shared" si="63"/>
        <v>0</v>
      </c>
      <c r="H82" s="12"/>
      <c r="I82" s="12"/>
      <c r="J82" s="86">
        <f t="shared" si="48"/>
        <v>0</v>
      </c>
      <c r="K82" s="86">
        <f t="shared" si="48"/>
        <v>0</v>
      </c>
      <c r="L82" s="87"/>
      <c r="M82" s="87"/>
      <c r="N82" s="87"/>
      <c r="O82" s="87"/>
      <c r="P82" s="87"/>
      <c r="Q82" s="87"/>
      <c r="R82" s="87"/>
      <c r="S82" s="87"/>
      <c r="T82" s="86">
        <f t="shared" ref="T82:T96" si="64">J82+L82+N82+P82+R82</f>
        <v>0</v>
      </c>
      <c r="U82" s="86">
        <f t="shared" ref="U82:U96" si="65">K82-M82-O82-Q82-S82</f>
        <v>0</v>
      </c>
      <c r="V82" s="105"/>
      <c r="W82" s="12"/>
      <c r="X82" s="89">
        <f t="shared" si="53"/>
        <v>0</v>
      </c>
      <c r="Y82" s="12"/>
      <c r="Z82" s="89">
        <f t="shared" si="54"/>
        <v>0</v>
      </c>
      <c r="AA82" s="90"/>
      <c r="AB82" s="91" t="str">
        <f t="shared" ref="AB82:AB96" si="66">IF(CV82="","",CV82)</f>
        <v/>
      </c>
      <c r="AC82" s="83" t="str">
        <f t="shared" ref="AC82:AC96" si="67">IF(CY82="","",CY82)</f>
        <v/>
      </c>
      <c r="AD82" s="83" t="str">
        <f t="shared" ref="AD82:AE96" si="68">IF(DC82="","",DC82)</f>
        <v/>
      </c>
      <c r="AE82" s="83" t="str">
        <f t="shared" si="68"/>
        <v/>
      </c>
      <c r="AF82" s="80"/>
      <c r="AG82" s="27"/>
      <c r="AH82" s="27"/>
      <c r="AI82" s="27"/>
      <c r="AJ82" s="86">
        <f t="shared" ref="AJ82:AK96" si="69">T82-AH82</f>
        <v>0</v>
      </c>
      <c r="AK82" s="86">
        <f t="shared" si="69"/>
        <v>0</v>
      </c>
      <c r="AL82" s="27"/>
      <c r="AM82" s="27"/>
      <c r="AN82" s="86">
        <f t="shared" ref="AN82:AO96" si="70">AJ82-AL82</f>
        <v>0</v>
      </c>
      <c r="AO82" s="86">
        <f t="shared" si="70"/>
        <v>0</v>
      </c>
      <c r="AP82" s="27"/>
      <c r="AQ82" s="27"/>
      <c r="AR82" s="86">
        <f t="shared" ref="AR82:AS96" si="71">AN82-AP82</f>
        <v>0</v>
      </c>
      <c r="AS82" s="86">
        <f t="shared" si="71"/>
        <v>0</v>
      </c>
      <c r="AT82" s="27"/>
      <c r="AU82" s="94"/>
      <c r="AW82" s="89">
        <f t="shared" si="55"/>
        <v>0</v>
      </c>
      <c r="AX82" s="89">
        <f t="shared" si="56"/>
        <v>0</v>
      </c>
      <c r="AY82" s="89">
        <f t="shared" si="57"/>
        <v>0</v>
      </c>
      <c r="AZ82" s="89">
        <f t="shared" si="58"/>
        <v>0</v>
      </c>
      <c r="BB82" s="96">
        <f t="shared" si="49"/>
        <v>0</v>
      </c>
      <c r="BC82" s="96">
        <f t="shared" si="49"/>
        <v>0</v>
      </c>
      <c r="BD82" s="84" t="str">
        <f t="shared" si="50"/>
        <v/>
      </c>
      <c r="BE82" s="84" t="str">
        <f t="shared" si="50"/>
        <v/>
      </c>
      <c r="BF82" s="105"/>
      <c r="BG82" s="97" t="str">
        <f t="shared" si="59"/>
        <v/>
      </c>
      <c r="BH82" s="80"/>
      <c r="BI82" s="85">
        <f t="shared" si="51"/>
        <v>0</v>
      </c>
      <c r="BJ82" s="85">
        <f t="shared" si="51"/>
        <v>0</v>
      </c>
      <c r="BK82" s="12"/>
      <c r="BL82" s="12"/>
      <c r="BM82" s="98">
        <f t="shared" ref="BM82:BM96" si="72">IF(BK82=0,0,$BI82-BK82)</f>
        <v>0</v>
      </c>
      <c r="BN82" s="99">
        <f t="shared" ref="BN82:BN96" si="73">IF(BM82&lt;0,"!!!сумма к списанию больше суммы сальдо",IF(AND(BH82=1,BL82&lt;&gt;0,BK82=0),0,IF(AND(BH82=1,BK82=0),"!!!есть признак просроченности, включить в списание",IF(BK82&lt;0,"!!!сумма д.б.положительной",IF(BM82&gt;0,"???проверить правильность указания суммы списания, т.к. она меньше сальдо",0)))))</f>
        <v>0</v>
      </c>
      <c r="BO82" s="98">
        <f t="shared" ref="BO82:BO96" si="74">IF(BL82=0,0,$BJ82-BL82)</f>
        <v>0</v>
      </c>
      <c r="BP82" s="99">
        <f t="shared" ref="BP82:BP96" si="75">IF(BO82&lt;0,"!!!сумма к списанию больше суммы сальдо",IF(AND(BH82=1,BK82&lt;&gt;0,BL82=0),0,IF(AND(BH82=1,BL82=0),"!!!есть признак просроченности, включить в списание",IF(BL82&lt;0,"!!!сумма д.б.положительной",IF(BO82&gt;0,"???проверить правильность указания суммы списания, т.к. она меньше сальдо",0)))))</f>
        <v>0</v>
      </c>
      <c r="BQ82" s="12"/>
      <c r="BR82" s="12"/>
      <c r="BS82" s="12"/>
      <c r="BT82" s="12"/>
      <c r="BU82" s="98">
        <f t="shared" si="46"/>
        <v>0</v>
      </c>
      <c r="BV82" s="99">
        <f t="shared" si="45"/>
        <v>0</v>
      </c>
      <c r="BW82" s="98">
        <f t="shared" si="47"/>
        <v>0</v>
      </c>
      <c r="BX82" s="99">
        <f t="shared" si="60"/>
        <v>0</v>
      </c>
      <c r="BY82" s="105"/>
      <c r="BZ82" s="85">
        <f t="shared" si="52"/>
        <v>0</v>
      </c>
      <c r="CA82" s="85">
        <f t="shared" si="52"/>
        <v>0</v>
      </c>
      <c r="CB82" s="80"/>
      <c r="CC82" s="105"/>
      <c r="CD82" s="12"/>
      <c r="CE82" s="12"/>
      <c r="CF82" s="98">
        <f t="shared" ref="CF82:CF96" si="76">IF(CD82=0,0,$BZ82-CD82)</f>
        <v>0</v>
      </c>
      <c r="CG82" s="99">
        <f t="shared" ref="CG82:CG96" si="77">IF(CF82&lt;0,"!!!сумма к списанию больше суммы сальдо",IF(AND(CB82=1,CE82&lt;&gt;0,CD82=0),0,IF(AND(CB82=1,CD82=0),"!!!есть признак просроченности, включить в списание",IF(CD82&lt;0,"!!!сумма д.б.положительной",IF(CF82&gt;0,"???проверить правильность указания суммы списания, т.к. она меньше сальдо",0)))))</f>
        <v>0</v>
      </c>
      <c r="CH82" s="98">
        <f t="shared" ref="CH82:CH96" si="78">IF(CE82=0,0,$CA82-CE82)</f>
        <v>0</v>
      </c>
      <c r="CI82" s="99">
        <f t="shared" ref="CI82:CI96" si="79">IF(CH82&lt;0,"!!!сумма к списанию больше суммы сальдо",IF(AND(CB82=1,CD82&lt;&gt;0,CE82=0),0,IF(AND(CB82=1,CE82=0),"!!!есть признак просроченности, включить в списание",IF(CE82&lt;0,"!!!сумма д.б.положительной",IF(CH82&gt;0,"???проверить правильность указания суммы списания, т.к. она меньше сальдо",0)))))</f>
        <v>0</v>
      </c>
      <c r="CJ82" s="101"/>
      <c r="CK82" s="101"/>
      <c r="CL82" s="101"/>
      <c r="CQ82" s="108"/>
      <c r="CS82" s="102"/>
      <c r="CT82" s="103"/>
      <c r="CU82" s="82"/>
      <c r="CV82" s="105"/>
      <c r="CW82" s="82"/>
      <c r="CX82" s="82"/>
      <c r="CY82" s="82"/>
      <c r="CZ82" s="82"/>
      <c r="DA82" s="82"/>
      <c r="DB82" s="82"/>
      <c r="DC82" s="8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06"/>
      <c r="DP82" s="80"/>
      <c r="DQ82" s="80"/>
      <c r="DR82" s="110"/>
      <c r="DS82" s="80"/>
      <c r="DT82" s="80"/>
      <c r="DU82" s="80"/>
    </row>
    <row r="83" spans="1:125" ht="12.75" x14ac:dyDescent="0.2">
      <c r="A83" s="80">
        <f t="shared" ref="A83:A96" si="80">A82+1</f>
        <v>67</v>
      </c>
      <c r="B83" s="81"/>
      <c r="C83" s="82"/>
      <c r="D83" s="83" t="str">
        <f t="shared" si="61"/>
        <v/>
      </c>
      <c r="E83" s="84" t="str">
        <f t="shared" si="62"/>
        <v/>
      </c>
      <c r="F83" s="85">
        <f t="shared" si="63"/>
        <v>0</v>
      </c>
      <c r="G83" s="85">
        <f t="shared" si="63"/>
        <v>0</v>
      </c>
      <c r="H83" s="12"/>
      <c r="I83" s="12"/>
      <c r="J83" s="86">
        <f t="shared" si="48"/>
        <v>0</v>
      </c>
      <c r="K83" s="86">
        <f t="shared" si="48"/>
        <v>0</v>
      </c>
      <c r="L83" s="87"/>
      <c r="M83" s="87"/>
      <c r="N83" s="87"/>
      <c r="O83" s="87"/>
      <c r="P83" s="87"/>
      <c r="Q83" s="87"/>
      <c r="R83" s="87"/>
      <c r="S83" s="87"/>
      <c r="T83" s="86">
        <f t="shared" si="64"/>
        <v>0</v>
      </c>
      <c r="U83" s="86">
        <f t="shared" si="65"/>
        <v>0</v>
      </c>
      <c r="V83" s="105"/>
      <c r="W83" s="12"/>
      <c r="X83" s="89">
        <f t="shared" si="53"/>
        <v>0</v>
      </c>
      <c r="Y83" s="12"/>
      <c r="Z83" s="89">
        <f t="shared" si="54"/>
        <v>0</v>
      </c>
      <c r="AA83" s="90"/>
      <c r="AB83" s="91" t="str">
        <f t="shared" si="66"/>
        <v/>
      </c>
      <c r="AC83" s="83" t="str">
        <f t="shared" si="67"/>
        <v/>
      </c>
      <c r="AD83" s="83" t="str">
        <f t="shared" si="68"/>
        <v/>
      </c>
      <c r="AE83" s="83" t="str">
        <f t="shared" si="68"/>
        <v/>
      </c>
      <c r="AF83" s="80"/>
      <c r="AG83" s="27"/>
      <c r="AH83" s="27"/>
      <c r="AI83" s="27"/>
      <c r="AJ83" s="86">
        <f t="shared" si="69"/>
        <v>0</v>
      </c>
      <c r="AK83" s="86">
        <f t="shared" si="69"/>
        <v>0</v>
      </c>
      <c r="AL83" s="27"/>
      <c r="AM83" s="27"/>
      <c r="AN83" s="86">
        <f t="shared" si="70"/>
        <v>0</v>
      </c>
      <c r="AO83" s="86">
        <f t="shared" si="70"/>
        <v>0</v>
      </c>
      <c r="AP83" s="27"/>
      <c r="AQ83" s="27"/>
      <c r="AR83" s="86">
        <f t="shared" si="71"/>
        <v>0</v>
      </c>
      <c r="AS83" s="86">
        <f t="shared" si="71"/>
        <v>0</v>
      </c>
      <c r="AT83" s="27"/>
      <c r="AU83" s="94"/>
      <c r="AW83" s="89">
        <f t="shared" si="55"/>
        <v>0</v>
      </c>
      <c r="AX83" s="89">
        <f t="shared" si="56"/>
        <v>0</v>
      </c>
      <c r="AY83" s="89">
        <f t="shared" si="57"/>
        <v>0</v>
      </c>
      <c r="AZ83" s="89">
        <f t="shared" si="58"/>
        <v>0</v>
      </c>
      <c r="BB83" s="96">
        <f t="shared" si="49"/>
        <v>0</v>
      </c>
      <c r="BC83" s="96">
        <f t="shared" si="49"/>
        <v>0</v>
      </c>
      <c r="BD83" s="84" t="str">
        <f t="shared" si="50"/>
        <v/>
      </c>
      <c r="BE83" s="84" t="str">
        <f t="shared" si="50"/>
        <v/>
      </c>
      <c r="BF83" s="105"/>
      <c r="BG83" s="97" t="str">
        <f t="shared" si="59"/>
        <v/>
      </c>
      <c r="BH83" s="80"/>
      <c r="BI83" s="85">
        <f t="shared" si="51"/>
        <v>0</v>
      </c>
      <c r="BJ83" s="85">
        <f t="shared" si="51"/>
        <v>0</v>
      </c>
      <c r="BK83" s="12"/>
      <c r="BL83" s="12"/>
      <c r="BM83" s="98">
        <f t="shared" si="72"/>
        <v>0</v>
      </c>
      <c r="BN83" s="99">
        <f t="shared" si="73"/>
        <v>0</v>
      </c>
      <c r="BO83" s="98">
        <f t="shared" si="74"/>
        <v>0</v>
      </c>
      <c r="BP83" s="99">
        <f t="shared" si="75"/>
        <v>0</v>
      </c>
      <c r="BQ83" s="12"/>
      <c r="BR83" s="12"/>
      <c r="BS83" s="12"/>
      <c r="BT83" s="12"/>
      <c r="BU83" s="98">
        <f t="shared" si="46"/>
        <v>0</v>
      </c>
      <c r="BV83" s="99">
        <f t="shared" si="45"/>
        <v>0</v>
      </c>
      <c r="BW83" s="98">
        <f t="shared" si="47"/>
        <v>0</v>
      </c>
      <c r="BX83" s="99">
        <f t="shared" si="60"/>
        <v>0</v>
      </c>
      <c r="BY83" s="105"/>
      <c r="BZ83" s="85">
        <f t="shared" si="52"/>
        <v>0</v>
      </c>
      <c r="CA83" s="85">
        <f t="shared" si="52"/>
        <v>0</v>
      </c>
      <c r="CB83" s="80"/>
      <c r="CC83" s="105"/>
      <c r="CD83" s="12"/>
      <c r="CE83" s="12"/>
      <c r="CF83" s="98">
        <f t="shared" si="76"/>
        <v>0</v>
      </c>
      <c r="CG83" s="99">
        <f t="shared" si="77"/>
        <v>0</v>
      </c>
      <c r="CH83" s="98">
        <f t="shared" si="78"/>
        <v>0</v>
      </c>
      <c r="CI83" s="99">
        <f t="shared" si="79"/>
        <v>0</v>
      </c>
      <c r="CJ83" s="101"/>
      <c r="CK83" s="101"/>
      <c r="CL83" s="101"/>
      <c r="CQ83" s="108"/>
      <c r="CS83" s="102"/>
      <c r="CT83" s="103"/>
      <c r="CU83" s="82"/>
      <c r="CV83" s="105"/>
      <c r="CW83" s="82"/>
      <c r="CX83" s="82"/>
      <c r="CY83" s="82"/>
      <c r="CZ83" s="82"/>
      <c r="DA83" s="82"/>
      <c r="DB83" s="82"/>
      <c r="DC83" s="8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06"/>
      <c r="DP83" s="80"/>
      <c r="DQ83" s="80"/>
      <c r="DR83" s="110"/>
      <c r="DS83" s="80"/>
      <c r="DT83" s="80"/>
      <c r="DU83" s="80"/>
    </row>
    <row r="84" spans="1:125" ht="12.75" x14ac:dyDescent="0.2">
      <c r="A84" s="80">
        <f t="shared" si="80"/>
        <v>68</v>
      </c>
      <c r="B84" s="81"/>
      <c r="C84" s="82"/>
      <c r="D84" s="83" t="str">
        <f t="shared" si="61"/>
        <v/>
      </c>
      <c r="E84" s="84" t="str">
        <f t="shared" si="62"/>
        <v/>
      </c>
      <c r="F84" s="85">
        <f t="shared" si="63"/>
        <v>0</v>
      </c>
      <c r="G84" s="85">
        <f t="shared" si="63"/>
        <v>0</v>
      </c>
      <c r="H84" s="12"/>
      <c r="I84" s="12"/>
      <c r="J84" s="86">
        <f t="shared" si="48"/>
        <v>0</v>
      </c>
      <c r="K84" s="86">
        <f t="shared" si="48"/>
        <v>0</v>
      </c>
      <c r="L84" s="87"/>
      <c r="M84" s="87"/>
      <c r="N84" s="87"/>
      <c r="O84" s="87"/>
      <c r="P84" s="87"/>
      <c r="Q84" s="87"/>
      <c r="R84" s="87"/>
      <c r="S84" s="87"/>
      <c r="T84" s="86">
        <f t="shared" si="64"/>
        <v>0</v>
      </c>
      <c r="U84" s="86">
        <f t="shared" si="65"/>
        <v>0</v>
      </c>
      <c r="V84" s="105"/>
      <c r="W84" s="12"/>
      <c r="X84" s="89">
        <f t="shared" si="53"/>
        <v>0</v>
      </c>
      <c r="Y84" s="12"/>
      <c r="Z84" s="89">
        <f t="shared" si="54"/>
        <v>0</v>
      </c>
      <c r="AA84" s="90"/>
      <c r="AB84" s="91" t="str">
        <f t="shared" si="66"/>
        <v/>
      </c>
      <c r="AC84" s="83" t="str">
        <f t="shared" si="67"/>
        <v/>
      </c>
      <c r="AD84" s="83" t="str">
        <f t="shared" si="68"/>
        <v/>
      </c>
      <c r="AE84" s="83" t="str">
        <f t="shared" si="68"/>
        <v/>
      </c>
      <c r="AF84" s="80"/>
      <c r="AG84" s="27"/>
      <c r="AH84" s="27"/>
      <c r="AI84" s="27"/>
      <c r="AJ84" s="86">
        <f t="shared" si="69"/>
        <v>0</v>
      </c>
      <c r="AK84" s="86">
        <f t="shared" si="69"/>
        <v>0</v>
      </c>
      <c r="AL84" s="27"/>
      <c r="AM84" s="27"/>
      <c r="AN84" s="86">
        <f t="shared" si="70"/>
        <v>0</v>
      </c>
      <c r="AO84" s="86">
        <f t="shared" si="70"/>
        <v>0</v>
      </c>
      <c r="AP84" s="27"/>
      <c r="AQ84" s="27"/>
      <c r="AR84" s="86">
        <f t="shared" si="71"/>
        <v>0</v>
      </c>
      <c r="AS84" s="86">
        <f t="shared" si="71"/>
        <v>0</v>
      </c>
      <c r="AT84" s="27"/>
      <c r="AU84" s="94"/>
      <c r="AW84" s="89">
        <f t="shared" si="55"/>
        <v>0</v>
      </c>
      <c r="AX84" s="89">
        <f t="shared" si="56"/>
        <v>0</v>
      </c>
      <c r="AY84" s="89">
        <f t="shared" si="57"/>
        <v>0</v>
      </c>
      <c r="AZ84" s="89">
        <f t="shared" si="58"/>
        <v>0</v>
      </c>
      <c r="BB84" s="96">
        <f t="shared" si="49"/>
        <v>0</v>
      </c>
      <c r="BC84" s="96">
        <f t="shared" si="49"/>
        <v>0</v>
      </c>
      <c r="BD84" s="84" t="str">
        <f t="shared" si="50"/>
        <v/>
      </c>
      <c r="BE84" s="84" t="str">
        <f t="shared" si="50"/>
        <v/>
      </c>
      <c r="BF84" s="105"/>
      <c r="BG84" s="97" t="str">
        <f t="shared" si="59"/>
        <v/>
      </c>
      <c r="BH84" s="80"/>
      <c r="BI84" s="85">
        <f t="shared" si="51"/>
        <v>0</v>
      </c>
      <c r="BJ84" s="85">
        <f t="shared" si="51"/>
        <v>0</v>
      </c>
      <c r="BK84" s="12"/>
      <c r="BL84" s="12"/>
      <c r="BM84" s="98">
        <f t="shared" si="72"/>
        <v>0</v>
      </c>
      <c r="BN84" s="99">
        <f t="shared" si="73"/>
        <v>0</v>
      </c>
      <c r="BO84" s="98">
        <f t="shared" si="74"/>
        <v>0</v>
      </c>
      <c r="BP84" s="99">
        <f t="shared" si="75"/>
        <v>0</v>
      </c>
      <c r="BQ84" s="12"/>
      <c r="BR84" s="12"/>
      <c r="BS84" s="12"/>
      <c r="BT84" s="12"/>
      <c r="BU84" s="98">
        <f t="shared" si="46"/>
        <v>0</v>
      </c>
      <c r="BV84" s="99">
        <f t="shared" ref="BV84:BV96" si="81">IF(BU84&lt;0,"!!! Отрицательное сальдо не допустимо",0)</f>
        <v>0</v>
      </c>
      <c r="BW84" s="98">
        <f t="shared" si="47"/>
        <v>0</v>
      </c>
      <c r="BX84" s="99">
        <f t="shared" si="60"/>
        <v>0</v>
      </c>
      <c r="BY84" s="105"/>
      <c r="BZ84" s="85">
        <f t="shared" si="52"/>
        <v>0</v>
      </c>
      <c r="CA84" s="85">
        <f t="shared" si="52"/>
        <v>0</v>
      </c>
      <c r="CB84" s="80"/>
      <c r="CC84" s="105"/>
      <c r="CD84" s="12"/>
      <c r="CE84" s="12"/>
      <c r="CF84" s="98">
        <f t="shared" si="76"/>
        <v>0</v>
      </c>
      <c r="CG84" s="99">
        <f t="shared" si="77"/>
        <v>0</v>
      </c>
      <c r="CH84" s="98">
        <f t="shared" si="78"/>
        <v>0</v>
      </c>
      <c r="CI84" s="99">
        <f t="shared" si="79"/>
        <v>0</v>
      </c>
      <c r="CJ84" s="101"/>
      <c r="CK84" s="101"/>
      <c r="CL84" s="101"/>
      <c r="CQ84" s="108"/>
      <c r="CS84" s="102"/>
      <c r="CT84" s="103"/>
      <c r="CU84" s="82"/>
      <c r="CV84" s="105"/>
      <c r="CW84" s="82"/>
      <c r="CX84" s="82"/>
      <c r="CY84" s="82"/>
      <c r="CZ84" s="82"/>
      <c r="DA84" s="82"/>
      <c r="DB84" s="82"/>
      <c r="DC84" s="8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06"/>
      <c r="DP84" s="80"/>
      <c r="DQ84" s="80"/>
      <c r="DR84" s="110"/>
      <c r="DS84" s="80"/>
      <c r="DT84" s="80"/>
      <c r="DU84" s="80"/>
    </row>
    <row r="85" spans="1:125" ht="12.75" x14ac:dyDescent="0.2">
      <c r="A85" s="80">
        <f t="shared" si="80"/>
        <v>69</v>
      </c>
      <c r="B85" s="81"/>
      <c r="C85" s="82"/>
      <c r="D85" s="83" t="str">
        <f t="shared" si="61"/>
        <v/>
      </c>
      <c r="E85" s="84" t="str">
        <f t="shared" si="62"/>
        <v/>
      </c>
      <c r="F85" s="85">
        <f t="shared" si="63"/>
        <v>0</v>
      </c>
      <c r="G85" s="85">
        <f t="shared" si="63"/>
        <v>0</v>
      </c>
      <c r="H85" s="12"/>
      <c r="I85" s="12"/>
      <c r="J85" s="86">
        <f t="shared" si="48"/>
        <v>0</v>
      </c>
      <c r="K85" s="86">
        <f t="shared" si="48"/>
        <v>0</v>
      </c>
      <c r="L85" s="87"/>
      <c r="M85" s="87"/>
      <c r="N85" s="87"/>
      <c r="O85" s="87"/>
      <c r="P85" s="87"/>
      <c r="Q85" s="87"/>
      <c r="R85" s="87"/>
      <c r="S85" s="87"/>
      <c r="T85" s="86">
        <f t="shared" si="64"/>
        <v>0</v>
      </c>
      <c r="U85" s="86">
        <f t="shared" si="65"/>
        <v>0</v>
      </c>
      <c r="V85" s="105"/>
      <c r="W85" s="12"/>
      <c r="X85" s="89">
        <f t="shared" si="53"/>
        <v>0</v>
      </c>
      <c r="Y85" s="12"/>
      <c r="Z85" s="89">
        <f t="shared" si="54"/>
        <v>0</v>
      </c>
      <c r="AA85" s="90"/>
      <c r="AB85" s="91" t="str">
        <f t="shared" si="66"/>
        <v/>
      </c>
      <c r="AC85" s="83" t="str">
        <f t="shared" si="67"/>
        <v/>
      </c>
      <c r="AD85" s="83" t="str">
        <f t="shared" si="68"/>
        <v/>
      </c>
      <c r="AE85" s="83" t="str">
        <f t="shared" si="68"/>
        <v/>
      </c>
      <c r="AF85" s="80"/>
      <c r="AG85" s="27"/>
      <c r="AH85" s="27"/>
      <c r="AI85" s="27"/>
      <c r="AJ85" s="86">
        <f t="shared" si="69"/>
        <v>0</v>
      </c>
      <c r="AK85" s="86">
        <f t="shared" si="69"/>
        <v>0</v>
      </c>
      <c r="AL85" s="27"/>
      <c r="AM85" s="27"/>
      <c r="AN85" s="86">
        <f t="shared" si="70"/>
        <v>0</v>
      </c>
      <c r="AO85" s="86">
        <f t="shared" si="70"/>
        <v>0</v>
      </c>
      <c r="AP85" s="27"/>
      <c r="AQ85" s="27"/>
      <c r="AR85" s="86">
        <f t="shared" si="71"/>
        <v>0</v>
      </c>
      <c r="AS85" s="86">
        <f t="shared" si="71"/>
        <v>0</v>
      </c>
      <c r="AT85" s="27"/>
      <c r="AU85" s="94"/>
      <c r="AW85" s="89">
        <f t="shared" si="55"/>
        <v>0</v>
      </c>
      <c r="AX85" s="89">
        <f t="shared" si="56"/>
        <v>0</v>
      </c>
      <c r="AY85" s="89">
        <f t="shared" si="57"/>
        <v>0</v>
      </c>
      <c r="AZ85" s="89">
        <f t="shared" si="58"/>
        <v>0</v>
      </c>
      <c r="BB85" s="96">
        <f t="shared" si="49"/>
        <v>0</v>
      </c>
      <c r="BC85" s="96">
        <f t="shared" si="49"/>
        <v>0</v>
      </c>
      <c r="BD85" s="84" t="str">
        <f t="shared" si="50"/>
        <v/>
      </c>
      <c r="BE85" s="84" t="str">
        <f t="shared" si="50"/>
        <v/>
      </c>
      <c r="BF85" s="105"/>
      <c r="BG85" s="97" t="str">
        <f t="shared" si="59"/>
        <v/>
      </c>
      <c r="BH85" s="80"/>
      <c r="BI85" s="85">
        <f t="shared" si="51"/>
        <v>0</v>
      </c>
      <c r="BJ85" s="85">
        <f t="shared" si="51"/>
        <v>0</v>
      </c>
      <c r="BK85" s="12"/>
      <c r="BL85" s="12"/>
      <c r="BM85" s="98">
        <f t="shared" si="72"/>
        <v>0</v>
      </c>
      <c r="BN85" s="99">
        <f t="shared" si="73"/>
        <v>0</v>
      </c>
      <c r="BO85" s="98">
        <f t="shared" si="74"/>
        <v>0</v>
      </c>
      <c r="BP85" s="99">
        <f t="shared" si="75"/>
        <v>0</v>
      </c>
      <c r="BQ85" s="12"/>
      <c r="BR85" s="12"/>
      <c r="BS85" s="12"/>
      <c r="BT85" s="12"/>
      <c r="BU85" s="98">
        <f t="shared" si="46"/>
        <v>0</v>
      </c>
      <c r="BV85" s="99">
        <f t="shared" si="81"/>
        <v>0</v>
      </c>
      <c r="BW85" s="98">
        <f t="shared" si="47"/>
        <v>0</v>
      </c>
      <c r="BX85" s="99">
        <f t="shared" si="60"/>
        <v>0</v>
      </c>
      <c r="BY85" s="105"/>
      <c r="BZ85" s="85">
        <f t="shared" si="52"/>
        <v>0</v>
      </c>
      <c r="CA85" s="85">
        <f t="shared" si="52"/>
        <v>0</v>
      </c>
      <c r="CB85" s="80"/>
      <c r="CC85" s="105"/>
      <c r="CD85" s="12"/>
      <c r="CE85" s="12"/>
      <c r="CF85" s="98">
        <f t="shared" si="76"/>
        <v>0</v>
      </c>
      <c r="CG85" s="99">
        <f t="shared" si="77"/>
        <v>0</v>
      </c>
      <c r="CH85" s="98">
        <f t="shared" si="78"/>
        <v>0</v>
      </c>
      <c r="CI85" s="99">
        <f t="shared" si="79"/>
        <v>0</v>
      </c>
      <c r="CJ85" s="101"/>
      <c r="CK85" s="101"/>
      <c r="CL85" s="101"/>
      <c r="CQ85" s="108"/>
      <c r="CS85" s="102"/>
      <c r="CT85" s="103"/>
      <c r="CU85" s="82"/>
      <c r="CV85" s="105"/>
      <c r="CW85" s="82"/>
      <c r="CX85" s="82"/>
      <c r="CY85" s="82"/>
      <c r="CZ85" s="82"/>
      <c r="DA85" s="82"/>
      <c r="DB85" s="82"/>
      <c r="DC85" s="8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06"/>
      <c r="DP85" s="80"/>
      <c r="DQ85" s="80"/>
      <c r="DR85" s="110"/>
      <c r="DS85" s="80"/>
      <c r="DT85" s="80"/>
      <c r="DU85" s="80"/>
    </row>
    <row r="86" spans="1:125" ht="12.75" x14ac:dyDescent="0.2">
      <c r="A86" s="80">
        <f t="shared" si="80"/>
        <v>70</v>
      </c>
      <c r="B86" s="81"/>
      <c r="C86" s="82"/>
      <c r="D86" s="83" t="str">
        <f t="shared" si="61"/>
        <v/>
      </c>
      <c r="E86" s="84" t="str">
        <f t="shared" si="62"/>
        <v/>
      </c>
      <c r="F86" s="85">
        <f t="shared" si="63"/>
        <v>0</v>
      </c>
      <c r="G86" s="85">
        <f t="shared" si="63"/>
        <v>0</v>
      </c>
      <c r="H86" s="12"/>
      <c r="I86" s="12"/>
      <c r="J86" s="86">
        <f t="shared" si="48"/>
        <v>0</v>
      </c>
      <c r="K86" s="86">
        <f t="shared" si="48"/>
        <v>0</v>
      </c>
      <c r="L86" s="87"/>
      <c r="M86" s="87"/>
      <c r="N86" s="87"/>
      <c r="O86" s="87"/>
      <c r="P86" s="87"/>
      <c r="Q86" s="87"/>
      <c r="R86" s="87"/>
      <c r="S86" s="87"/>
      <c r="T86" s="86">
        <f t="shared" si="64"/>
        <v>0</v>
      </c>
      <c r="U86" s="86">
        <f t="shared" si="65"/>
        <v>0</v>
      </c>
      <c r="V86" s="105"/>
      <c r="W86" s="12"/>
      <c r="X86" s="89">
        <f t="shared" si="53"/>
        <v>0</v>
      </c>
      <c r="Y86" s="12"/>
      <c r="Z86" s="89">
        <f t="shared" si="54"/>
        <v>0</v>
      </c>
      <c r="AA86" s="90"/>
      <c r="AB86" s="91" t="str">
        <f t="shared" si="66"/>
        <v/>
      </c>
      <c r="AC86" s="83" t="str">
        <f t="shared" si="67"/>
        <v/>
      </c>
      <c r="AD86" s="83" t="str">
        <f t="shared" si="68"/>
        <v/>
      </c>
      <c r="AE86" s="83" t="str">
        <f t="shared" si="68"/>
        <v/>
      </c>
      <c r="AF86" s="80"/>
      <c r="AG86" s="27"/>
      <c r="AH86" s="27"/>
      <c r="AI86" s="27"/>
      <c r="AJ86" s="86">
        <f t="shared" si="69"/>
        <v>0</v>
      </c>
      <c r="AK86" s="86">
        <f t="shared" si="69"/>
        <v>0</v>
      </c>
      <c r="AL86" s="27"/>
      <c r="AM86" s="27"/>
      <c r="AN86" s="86">
        <f t="shared" si="70"/>
        <v>0</v>
      </c>
      <c r="AO86" s="86">
        <f t="shared" si="70"/>
        <v>0</v>
      </c>
      <c r="AP86" s="27"/>
      <c r="AQ86" s="27"/>
      <c r="AR86" s="86">
        <f t="shared" si="71"/>
        <v>0</v>
      </c>
      <c r="AS86" s="86">
        <f t="shared" si="71"/>
        <v>0</v>
      </c>
      <c r="AT86" s="27"/>
      <c r="AU86" s="94"/>
      <c r="AW86" s="89">
        <f t="shared" si="55"/>
        <v>0</v>
      </c>
      <c r="AX86" s="89">
        <f t="shared" si="56"/>
        <v>0</v>
      </c>
      <c r="AY86" s="89">
        <f t="shared" si="57"/>
        <v>0</v>
      </c>
      <c r="AZ86" s="89">
        <f t="shared" si="58"/>
        <v>0</v>
      </c>
      <c r="BB86" s="96">
        <f t="shared" si="49"/>
        <v>0</v>
      </c>
      <c r="BC86" s="96">
        <f t="shared" si="49"/>
        <v>0</v>
      </c>
      <c r="BD86" s="84" t="str">
        <f t="shared" si="50"/>
        <v/>
      </c>
      <c r="BE86" s="84" t="str">
        <f t="shared" si="50"/>
        <v/>
      </c>
      <c r="BF86" s="105"/>
      <c r="BG86" s="97" t="str">
        <f t="shared" si="59"/>
        <v/>
      </c>
      <c r="BH86" s="80"/>
      <c r="BI86" s="85">
        <f t="shared" si="51"/>
        <v>0</v>
      </c>
      <c r="BJ86" s="85">
        <f t="shared" si="51"/>
        <v>0</v>
      </c>
      <c r="BK86" s="12"/>
      <c r="BL86" s="12"/>
      <c r="BM86" s="98">
        <f t="shared" si="72"/>
        <v>0</v>
      </c>
      <c r="BN86" s="99">
        <f t="shared" si="73"/>
        <v>0</v>
      </c>
      <c r="BO86" s="98">
        <f t="shared" si="74"/>
        <v>0</v>
      </c>
      <c r="BP86" s="99">
        <f t="shared" si="75"/>
        <v>0</v>
      </c>
      <c r="BQ86" s="12"/>
      <c r="BR86" s="12"/>
      <c r="BS86" s="12"/>
      <c r="BT86" s="12"/>
      <c r="BU86" s="98">
        <f t="shared" si="46"/>
        <v>0</v>
      </c>
      <c r="BV86" s="99">
        <f t="shared" si="81"/>
        <v>0</v>
      </c>
      <c r="BW86" s="98">
        <f t="shared" si="47"/>
        <v>0</v>
      </c>
      <c r="BX86" s="99">
        <f t="shared" si="60"/>
        <v>0</v>
      </c>
      <c r="BY86" s="105"/>
      <c r="BZ86" s="85">
        <f t="shared" si="52"/>
        <v>0</v>
      </c>
      <c r="CA86" s="85">
        <f t="shared" si="52"/>
        <v>0</v>
      </c>
      <c r="CB86" s="80"/>
      <c r="CC86" s="105"/>
      <c r="CD86" s="12"/>
      <c r="CE86" s="12"/>
      <c r="CF86" s="98">
        <f t="shared" si="76"/>
        <v>0</v>
      </c>
      <c r="CG86" s="99">
        <f t="shared" si="77"/>
        <v>0</v>
      </c>
      <c r="CH86" s="98">
        <f t="shared" si="78"/>
        <v>0</v>
      </c>
      <c r="CI86" s="99">
        <f t="shared" si="79"/>
        <v>0</v>
      </c>
      <c r="CJ86" s="101"/>
      <c r="CK86" s="101"/>
      <c r="CL86" s="101"/>
      <c r="CQ86" s="108"/>
      <c r="CS86" s="102"/>
      <c r="CT86" s="103"/>
      <c r="CU86" s="82"/>
      <c r="CV86" s="105"/>
      <c r="CW86" s="82"/>
      <c r="CX86" s="82"/>
      <c r="CY86" s="82"/>
      <c r="CZ86" s="82"/>
      <c r="DA86" s="82"/>
      <c r="DB86" s="82"/>
      <c r="DC86" s="8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06"/>
      <c r="DP86" s="80"/>
      <c r="DQ86" s="80"/>
      <c r="DR86" s="110"/>
      <c r="DS86" s="80"/>
      <c r="DT86" s="80"/>
      <c r="DU86" s="80"/>
    </row>
    <row r="87" spans="1:125" ht="12.75" x14ac:dyDescent="0.2">
      <c r="A87" s="80">
        <f t="shared" si="80"/>
        <v>71</v>
      </c>
      <c r="B87" s="81"/>
      <c r="C87" s="82"/>
      <c r="D87" s="83" t="str">
        <f t="shared" si="61"/>
        <v/>
      </c>
      <c r="E87" s="84" t="str">
        <f t="shared" si="62"/>
        <v/>
      </c>
      <c r="F87" s="85">
        <f t="shared" si="63"/>
        <v>0</v>
      </c>
      <c r="G87" s="85">
        <f t="shared" si="63"/>
        <v>0</v>
      </c>
      <c r="H87" s="12"/>
      <c r="I87" s="12"/>
      <c r="J87" s="86">
        <f t="shared" si="48"/>
        <v>0</v>
      </c>
      <c r="K87" s="86">
        <f t="shared" si="48"/>
        <v>0</v>
      </c>
      <c r="L87" s="87"/>
      <c r="M87" s="87"/>
      <c r="N87" s="87"/>
      <c r="O87" s="87"/>
      <c r="P87" s="87"/>
      <c r="Q87" s="87"/>
      <c r="R87" s="87"/>
      <c r="S87" s="87"/>
      <c r="T87" s="86">
        <f t="shared" si="64"/>
        <v>0</v>
      </c>
      <c r="U87" s="86">
        <f t="shared" si="65"/>
        <v>0</v>
      </c>
      <c r="V87" s="105"/>
      <c r="W87" s="12"/>
      <c r="X87" s="89">
        <f t="shared" si="53"/>
        <v>0</v>
      </c>
      <c r="Y87" s="12"/>
      <c r="Z87" s="89">
        <f t="shared" si="54"/>
        <v>0</v>
      </c>
      <c r="AA87" s="90"/>
      <c r="AB87" s="91" t="str">
        <f t="shared" si="66"/>
        <v/>
      </c>
      <c r="AC87" s="83" t="str">
        <f t="shared" si="67"/>
        <v/>
      </c>
      <c r="AD87" s="83" t="str">
        <f t="shared" si="68"/>
        <v/>
      </c>
      <c r="AE87" s="83" t="str">
        <f t="shared" si="68"/>
        <v/>
      </c>
      <c r="AF87" s="80"/>
      <c r="AG87" s="27"/>
      <c r="AH87" s="27"/>
      <c r="AI87" s="27"/>
      <c r="AJ87" s="86">
        <f t="shared" si="69"/>
        <v>0</v>
      </c>
      <c r="AK87" s="86">
        <f t="shared" si="69"/>
        <v>0</v>
      </c>
      <c r="AL87" s="27"/>
      <c r="AM87" s="27"/>
      <c r="AN87" s="86">
        <f t="shared" si="70"/>
        <v>0</v>
      </c>
      <c r="AO87" s="86">
        <f t="shared" si="70"/>
        <v>0</v>
      </c>
      <c r="AP87" s="27"/>
      <c r="AQ87" s="27"/>
      <c r="AR87" s="86">
        <f t="shared" si="71"/>
        <v>0</v>
      </c>
      <c r="AS87" s="86">
        <f t="shared" si="71"/>
        <v>0</v>
      </c>
      <c r="AT87" s="27"/>
      <c r="AU87" s="94"/>
      <c r="AW87" s="89">
        <f t="shared" si="55"/>
        <v>0</v>
      </c>
      <c r="AX87" s="89">
        <f t="shared" si="56"/>
        <v>0</v>
      </c>
      <c r="AY87" s="89">
        <f t="shared" si="57"/>
        <v>0</v>
      </c>
      <c r="AZ87" s="89">
        <f t="shared" si="58"/>
        <v>0</v>
      </c>
      <c r="BB87" s="96">
        <f t="shared" si="49"/>
        <v>0</v>
      </c>
      <c r="BC87" s="96">
        <f t="shared" si="49"/>
        <v>0</v>
      </c>
      <c r="BD87" s="84" t="str">
        <f t="shared" si="50"/>
        <v/>
      </c>
      <c r="BE87" s="84" t="str">
        <f t="shared" si="50"/>
        <v/>
      </c>
      <c r="BF87" s="105"/>
      <c r="BG87" s="97" t="str">
        <f t="shared" si="59"/>
        <v/>
      </c>
      <c r="BH87" s="80"/>
      <c r="BI87" s="85">
        <f t="shared" si="51"/>
        <v>0</v>
      </c>
      <c r="BJ87" s="85">
        <f t="shared" si="51"/>
        <v>0</v>
      </c>
      <c r="BK87" s="12"/>
      <c r="BL87" s="12"/>
      <c r="BM87" s="98">
        <f t="shared" si="72"/>
        <v>0</v>
      </c>
      <c r="BN87" s="99">
        <f t="shared" si="73"/>
        <v>0</v>
      </c>
      <c r="BO87" s="98">
        <f t="shared" si="74"/>
        <v>0</v>
      </c>
      <c r="BP87" s="99">
        <f t="shared" si="75"/>
        <v>0</v>
      </c>
      <c r="BQ87" s="12"/>
      <c r="BR87" s="12"/>
      <c r="BS87" s="12"/>
      <c r="BT87" s="12"/>
      <c r="BU87" s="98">
        <f t="shared" si="46"/>
        <v>0</v>
      </c>
      <c r="BV87" s="99">
        <f t="shared" si="81"/>
        <v>0</v>
      </c>
      <c r="BW87" s="98">
        <f t="shared" si="47"/>
        <v>0</v>
      </c>
      <c r="BX87" s="99">
        <f t="shared" si="60"/>
        <v>0</v>
      </c>
      <c r="BY87" s="105"/>
      <c r="BZ87" s="85">
        <f t="shared" si="52"/>
        <v>0</v>
      </c>
      <c r="CA87" s="85">
        <f t="shared" si="52"/>
        <v>0</v>
      </c>
      <c r="CB87" s="80"/>
      <c r="CC87" s="105"/>
      <c r="CD87" s="12"/>
      <c r="CE87" s="12"/>
      <c r="CF87" s="98">
        <f t="shared" si="76"/>
        <v>0</v>
      </c>
      <c r="CG87" s="99">
        <f t="shared" si="77"/>
        <v>0</v>
      </c>
      <c r="CH87" s="98">
        <f t="shared" si="78"/>
        <v>0</v>
      </c>
      <c r="CI87" s="99">
        <f t="shared" si="79"/>
        <v>0</v>
      </c>
      <c r="CJ87" s="101"/>
      <c r="CK87" s="101"/>
      <c r="CL87" s="101"/>
      <c r="CQ87" s="108"/>
      <c r="CS87" s="102"/>
      <c r="CT87" s="103"/>
      <c r="CU87" s="82"/>
      <c r="CV87" s="105"/>
      <c r="CW87" s="82"/>
      <c r="CX87" s="82"/>
      <c r="CY87" s="82"/>
      <c r="CZ87" s="82"/>
      <c r="DA87" s="82"/>
      <c r="DB87" s="82"/>
      <c r="DC87" s="8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06"/>
      <c r="DP87" s="80"/>
      <c r="DQ87" s="80"/>
      <c r="DR87" s="110"/>
      <c r="DS87" s="80"/>
      <c r="DT87" s="80"/>
      <c r="DU87" s="80"/>
    </row>
    <row r="88" spans="1:125" ht="12.75" x14ac:dyDescent="0.2">
      <c r="A88" s="80">
        <f t="shared" si="80"/>
        <v>72</v>
      </c>
      <c r="B88" s="81"/>
      <c r="C88" s="82"/>
      <c r="D88" s="83" t="str">
        <f t="shared" si="61"/>
        <v/>
      </c>
      <c r="E88" s="84" t="str">
        <f t="shared" si="62"/>
        <v/>
      </c>
      <c r="F88" s="85">
        <f t="shared" si="63"/>
        <v>0</v>
      </c>
      <c r="G88" s="85">
        <f t="shared" si="63"/>
        <v>0</v>
      </c>
      <c r="H88" s="12"/>
      <c r="I88" s="12"/>
      <c r="J88" s="86">
        <f t="shared" si="48"/>
        <v>0</v>
      </c>
      <c r="K88" s="86">
        <f t="shared" si="48"/>
        <v>0</v>
      </c>
      <c r="L88" s="87"/>
      <c r="M88" s="87"/>
      <c r="N88" s="87"/>
      <c r="O88" s="87"/>
      <c r="P88" s="87"/>
      <c r="Q88" s="87"/>
      <c r="R88" s="87"/>
      <c r="S88" s="87"/>
      <c r="T88" s="86">
        <f t="shared" si="64"/>
        <v>0</v>
      </c>
      <c r="U88" s="86">
        <f t="shared" si="65"/>
        <v>0</v>
      </c>
      <c r="V88" s="105"/>
      <c r="W88" s="12"/>
      <c r="X88" s="89">
        <f t="shared" si="53"/>
        <v>0</v>
      </c>
      <c r="Y88" s="12"/>
      <c r="Z88" s="89">
        <f t="shared" si="54"/>
        <v>0</v>
      </c>
      <c r="AA88" s="90"/>
      <c r="AB88" s="91" t="str">
        <f t="shared" si="66"/>
        <v/>
      </c>
      <c r="AC88" s="83" t="str">
        <f t="shared" si="67"/>
        <v/>
      </c>
      <c r="AD88" s="83" t="str">
        <f t="shared" si="68"/>
        <v/>
      </c>
      <c r="AE88" s="83" t="str">
        <f t="shared" si="68"/>
        <v/>
      </c>
      <c r="AF88" s="80"/>
      <c r="AG88" s="27"/>
      <c r="AH88" s="27"/>
      <c r="AI88" s="27"/>
      <c r="AJ88" s="86">
        <f t="shared" si="69"/>
        <v>0</v>
      </c>
      <c r="AK88" s="86">
        <f t="shared" si="69"/>
        <v>0</v>
      </c>
      <c r="AL88" s="27"/>
      <c r="AM88" s="27"/>
      <c r="AN88" s="86">
        <f t="shared" si="70"/>
        <v>0</v>
      </c>
      <c r="AO88" s="86">
        <f t="shared" si="70"/>
        <v>0</v>
      </c>
      <c r="AP88" s="27"/>
      <c r="AQ88" s="27"/>
      <c r="AR88" s="86">
        <f t="shared" si="71"/>
        <v>0</v>
      </c>
      <c r="AS88" s="86">
        <f t="shared" si="71"/>
        <v>0</v>
      </c>
      <c r="AT88" s="27"/>
      <c r="AU88" s="94"/>
      <c r="AW88" s="89">
        <f t="shared" si="55"/>
        <v>0</v>
      </c>
      <c r="AX88" s="89">
        <f t="shared" si="56"/>
        <v>0</v>
      </c>
      <c r="AY88" s="89">
        <f t="shared" si="57"/>
        <v>0</v>
      </c>
      <c r="AZ88" s="89">
        <f t="shared" si="58"/>
        <v>0</v>
      </c>
      <c r="BB88" s="96">
        <f t="shared" si="49"/>
        <v>0</v>
      </c>
      <c r="BC88" s="96">
        <f t="shared" si="49"/>
        <v>0</v>
      </c>
      <c r="BD88" s="84" t="str">
        <f t="shared" si="50"/>
        <v/>
      </c>
      <c r="BE88" s="84" t="str">
        <f t="shared" si="50"/>
        <v/>
      </c>
      <c r="BF88" s="105"/>
      <c r="BG88" s="97" t="str">
        <f t="shared" si="59"/>
        <v/>
      </c>
      <c r="BH88" s="80"/>
      <c r="BI88" s="85">
        <f t="shared" si="51"/>
        <v>0</v>
      </c>
      <c r="BJ88" s="85">
        <f t="shared" si="51"/>
        <v>0</v>
      </c>
      <c r="BK88" s="12"/>
      <c r="BL88" s="12"/>
      <c r="BM88" s="98">
        <f t="shared" si="72"/>
        <v>0</v>
      </c>
      <c r="BN88" s="99">
        <f t="shared" si="73"/>
        <v>0</v>
      </c>
      <c r="BO88" s="98">
        <f t="shared" si="74"/>
        <v>0</v>
      </c>
      <c r="BP88" s="99">
        <f t="shared" si="75"/>
        <v>0</v>
      </c>
      <c r="BQ88" s="12"/>
      <c r="BR88" s="12"/>
      <c r="BS88" s="12"/>
      <c r="BT88" s="12"/>
      <c r="BU88" s="98">
        <f t="shared" si="46"/>
        <v>0</v>
      </c>
      <c r="BV88" s="99">
        <f t="shared" si="81"/>
        <v>0</v>
      </c>
      <c r="BW88" s="98">
        <f t="shared" si="47"/>
        <v>0</v>
      </c>
      <c r="BX88" s="99">
        <f t="shared" si="60"/>
        <v>0</v>
      </c>
      <c r="BY88" s="105"/>
      <c r="BZ88" s="85">
        <f t="shared" si="52"/>
        <v>0</v>
      </c>
      <c r="CA88" s="85">
        <f t="shared" si="52"/>
        <v>0</v>
      </c>
      <c r="CB88" s="80"/>
      <c r="CC88" s="105"/>
      <c r="CD88" s="12"/>
      <c r="CE88" s="12"/>
      <c r="CF88" s="98">
        <f t="shared" si="76"/>
        <v>0</v>
      </c>
      <c r="CG88" s="99">
        <f t="shared" si="77"/>
        <v>0</v>
      </c>
      <c r="CH88" s="98">
        <f t="shared" si="78"/>
        <v>0</v>
      </c>
      <c r="CI88" s="99">
        <f t="shared" si="79"/>
        <v>0</v>
      </c>
      <c r="CJ88" s="101"/>
      <c r="CK88" s="101"/>
      <c r="CL88" s="101"/>
      <c r="CQ88" s="108"/>
      <c r="CS88" s="102"/>
      <c r="CT88" s="103"/>
      <c r="CU88" s="82"/>
      <c r="CV88" s="105"/>
      <c r="CW88" s="82"/>
      <c r="CX88" s="82"/>
      <c r="CY88" s="82"/>
      <c r="CZ88" s="82"/>
      <c r="DA88" s="82"/>
      <c r="DB88" s="82"/>
      <c r="DC88" s="8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06"/>
      <c r="DP88" s="80"/>
      <c r="DQ88" s="80"/>
      <c r="DR88" s="110"/>
      <c r="DS88" s="80"/>
      <c r="DT88" s="80"/>
      <c r="DU88" s="80"/>
    </row>
    <row r="89" spans="1:125" ht="12.75" x14ac:dyDescent="0.2">
      <c r="A89" s="80">
        <f t="shared" si="80"/>
        <v>73</v>
      </c>
      <c r="B89" s="81"/>
      <c r="C89" s="82"/>
      <c r="D89" s="83" t="str">
        <f t="shared" si="61"/>
        <v/>
      </c>
      <c r="E89" s="84" t="str">
        <f t="shared" si="62"/>
        <v/>
      </c>
      <c r="F89" s="85">
        <f t="shared" si="63"/>
        <v>0</v>
      </c>
      <c r="G89" s="85">
        <f t="shared" si="63"/>
        <v>0</v>
      </c>
      <c r="H89" s="12"/>
      <c r="I89" s="12"/>
      <c r="J89" s="86">
        <f t="shared" si="48"/>
        <v>0</v>
      </c>
      <c r="K89" s="86">
        <f t="shared" si="48"/>
        <v>0</v>
      </c>
      <c r="L89" s="87"/>
      <c r="M89" s="87"/>
      <c r="N89" s="87"/>
      <c r="O89" s="87"/>
      <c r="P89" s="87"/>
      <c r="Q89" s="87"/>
      <c r="R89" s="87"/>
      <c r="S89" s="87"/>
      <c r="T89" s="86">
        <f t="shared" si="64"/>
        <v>0</v>
      </c>
      <c r="U89" s="86">
        <f t="shared" si="65"/>
        <v>0</v>
      </c>
      <c r="V89" s="105"/>
      <c r="W89" s="12"/>
      <c r="X89" s="89">
        <f t="shared" si="53"/>
        <v>0</v>
      </c>
      <c r="Y89" s="12"/>
      <c r="Z89" s="89">
        <f t="shared" si="54"/>
        <v>0</v>
      </c>
      <c r="AA89" s="90"/>
      <c r="AB89" s="91" t="str">
        <f t="shared" si="66"/>
        <v/>
      </c>
      <c r="AC89" s="83" t="str">
        <f t="shared" si="67"/>
        <v/>
      </c>
      <c r="AD89" s="83" t="str">
        <f t="shared" si="68"/>
        <v/>
      </c>
      <c r="AE89" s="83" t="str">
        <f t="shared" si="68"/>
        <v/>
      </c>
      <c r="AF89" s="80"/>
      <c r="AG89" s="27"/>
      <c r="AH89" s="27"/>
      <c r="AI89" s="27"/>
      <c r="AJ89" s="86">
        <f t="shared" si="69"/>
        <v>0</v>
      </c>
      <c r="AK89" s="86">
        <f t="shared" si="69"/>
        <v>0</v>
      </c>
      <c r="AL89" s="27"/>
      <c r="AM89" s="27"/>
      <c r="AN89" s="86">
        <f t="shared" si="70"/>
        <v>0</v>
      </c>
      <c r="AO89" s="86">
        <f t="shared" si="70"/>
        <v>0</v>
      </c>
      <c r="AP89" s="27"/>
      <c r="AQ89" s="27"/>
      <c r="AR89" s="86">
        <f t="shared" si="71"/>
        <v>0</v>
      </c>
      <c r="AS89" s="86">
        <f t="shared" si="71"/>
        <v>0</v>
      </c>
      <c r="AT89" s="27"/>
      <c r="AU89" s="94"/>
      <c r="AW89" s="89">
        <f t="shared" si="55"/>
        <v>0</v>
      </c>
      <c r="AX89" s="89">
        <f t="shared" si="56"/>
        <v>0</v>
      </c>
      <c r="AY89" s="89">
        <f t="shared" si="57"/>
        <v>0</v>
      </c>
      <c r="AZ89" s="89">
        <f t="shared" si="58"/>
        <v>0</v>
      </c>
      <c r="BB89" s="96">
        <f t="shared" si="49"/>
        <v>0</v>
      </c>
      <c r="BC89" s="96">
        <f t="shared" si="49"/>
        <v>0</v>
      </c>
      <c r="BD89" s="84" t="str">
        <f t="shared" si="50"/>
        <v/>
      </c>
      <c r="BE89" s="84" t="str">
        <f t="shared" si="50"/>
        <v/>
      </c>
      <c r="BF89" s="105"/>
      <c r="BG89" s="97" t="str">
        <f t="shared" si="59"/>
        <v/>
      </c>
      <c r="BH89" s="80"/>
      <c r="BI89" s="85">
        <f t="shared" si="51"/>
        <v>0</v>
      </c>
      <c r="BJ89" s="85">
        <f t="shared" si="51"/>
        <v>0</v>
      </c>
      <c r="BK89" s="12"/>
      <c r="BL89" s="12"/>
      <c r="BM89" s="98">
        <f t="shared" si="72"/>
        <v>0</v>
      </c>
      <c r="BN89" s="99">
        <f t="shared" si="73"/>
        <v>0</v>
      </c>
      <c r="BO89" s="98">
        <f t="shared" si="74"/>
        <v>0</v>
      </c>
      <c r="BP89" s="99">
        <f t="shared" si="75"/>
        <v>0</v>
      </c>
      <c r="BQ89" s="12"/>
      <c r="BR89" s="12"/>
      <c r="BS89" s="12"/>
      <c r="BT89" s="12"/>
      <c r="BU89" s="98">
        <f t="shared" si="46"/>
        <v>0</v>
      </c>
      <c r="BV89" s="99">
        <f t="shared" si="81"/>
        <v>0</v>
      </c>
      <c r="BW89" s="98">
        <f t="shared" si="47"/>
        <v>0</v>
      </c>
      <c r="BX89" s="99">
        <f t="shared" si="60"/>
        <v>0</v>
      </c>
      <c r="BY89" s="105"/>
      <c r="BZ89" s="85">
        <f t="shared" si="52"/>
        <v>0</v>
      </c>
      <c r="CA89" s="85">
        <f t="shared" si="52"/>
        <v>0</v>
      </c>
      <c r="CB89" s="80"/>
      <c r="CC89" s="105"/>
      <c r="CD89" s="12"/>
      <c r="CE89" s="12"/>
      <c r="CF89" s="98">
        <f t="shared" si="76"/>
        <v>0</v>
      </c>
      <c r="CG89" s="99">
        <f t="shared" si="77"/>
        <v>0</v>
      </c>
      <c r="CH89" s="98">
        <f t="shared" si="78"/>
        <v>0</v>
      </c>
      <c r="CI89" s="99">
        <f t="shared" si="79"/>
        <v>0</v>
      </c>
      <c r="CJ89" s="101"/>
      <c r="CK89" s="101"/>
      <c r="CL89" s="101"/>
      <c r="CQ89" s="108"/>
      <c r="CS89" s="102"/>
      <c r="CT89" s="103"/>
      <c r="CU89" s="82"/>
      <c r="CV89" s="105"/>
      <c r="CW89" s="82"/>
      <c r="CX89" s="82"/>
      <c r="CY89" s="82"/>
      <c r="CZ89" s="82"/>
      <c r="DA89" s="82"/>
      <c r="DB89" s="82"/>
      <c r="DC89" s="8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06"/>
      <c r="DP89" s="80"/>
      <c r="DQ89" s="80"/>
      <c r="DR89" s="110"/>
      <c r="DS89" s="80"/>
      <c r="DT89" s="80"/>
      <c r="DU89" s="80"/>
    </row>
    <row r="90" spans="1:125" ht="12.75" x14ac:dyDescent="0.2">
      <c r="A90" s="80">
        <f t="shared" si="80"/>
        <v>74</v>
      </c>
      <c r="B90" s="81"/>
      <c r="C90" s="82"/>
      <c r="D90" s="83" t="str">
        <f t="shared" si="61"/>
        <v/>
      </c>
      <c r="E90" s="84" t="str">
        <f t="shared" si="62"/>
        <v/>
      </c>
      <c r="F90" s="85">
        <f t="shared" si="63"/>
        <v>0</v>
      </c>
      <c r="G90" s="85">
        <f t="shared" si="63"/>
        <v>0</v>
      </c>
      <c r="H90" s="12"/>
      <c r="I90" s="12"/>
      <c r="J90" s="86">
        <f t="shared" si="48"/>
        <v>0</v>
      </c>
      <c r="K90" s="86">
        <f t="shared" si="48"/>
        <v>0</v>
      </c>
      <c r="L90" s="87"/>
      <c r="M90" s="87"/>
      <c r="N90" s="87"/>
      <c r="O90" s="87"/>
      <c r="P90" s="87"/>
      <c r="Q90" s="87"/>
      <c r="R90" s="87"/>
      <c r="S90" s="87"/>
      <c r="T90" s="86">
        <f t="shared" si="64"/>
        <v>0</v>
      </c>
      <c r="U90" s="86">
        <f t="shared" si="65"/>
        <v>0</v>
      </c>
      <c r="V90" s="105"/>
      <c r="W90" s="12"/>
      <c r="X90" s="89">
        <f t="shared" si="53"/>
        <v>0</v>
      </c>
      <c r="Y90" s="12"/>
      <c r="Z90" s="89">
        <f t="shared" si="54"/>
        <v>0</v>
      </c>
      <c r="AA90" s="90"/>
      <c r="AB90" s="91" t="str">
        <f t="shared" si="66"/>
        <v/>
      </c>
      <c r="AC90" s="83" t="str">
        <f t="shared" si="67"/>
        <v/>
      </c>
      <c r="AD90" s="83" t="str">
        <f t="shared" si="68"/>
        <v/>
      </c>
      <c r="AE90" s="83" t="str">
        <f t="shared" si="68"/>
        <v/>
      </c>
      <c r="AF90" s="80"/>
      <c r="AG90" s="27"/>
      <c r="AH90" s="27"/>
      <c r="AI90" s="27"/>
      <c r="AJ90" s="86">
        <f t="shared" si="69"/>
        <v>0</v>
      </c>
      <c r="AK90" s="86">
        <f t="shared" si="69"/>
        <v>0</v>
      </c>
      <c r="AL90" s="27"/>
      <c r="AM90" s="27"/>
      <c r="AN90" s="86">
        <f t="shared" si="70"/>
        <v>0</v>
      </c>
      <c r="AO90" s="86">
        <f t="shared" si="70"/>
        <v>0</v>
      </c>
      <c r="AP90" s="27"/>
      <c r="AQ90" s="27"/>
      <c r="AR90" s="86">
        <f t="shared" si="71"/>
        <v>0</v>
      </c>
      <c r="AS90" s="86">
        <f t="shared" si="71"/>
        <v>0</v>
      </c>
      <c r="AT90" s="27"/>
      <c r="AU90" s="94"/>
      <c r="AW90" s="89">
        <f t="shared" si="55"/>
        <v>0</v>
      </c>
      <c r="AX90" s="89">
        <f t="shared" si="56"/>
        <v>0</v>
      </c>
      <c r="AY90" s="89">
        <f t="shared" si="57"/>
        <v>0</v>
      </c>
      <c r="AZ90" s="89">
        <f t="shared" si="58"/>
        <v>0</v>
      </c>
      <c r="BB90" s="96">
        <f t="shared" si="49"/>
        <v>0</v>
      </c>
      <c r="BC90" s="96">
        <f t="shared" si="49"/>
        <v>0</v>
      </c>
      <c r="BD90" s="84" t="str">
        <f t="shared" si="50"/>
        <v/>
      </c>
      <c r="BE90" s="84" t="str">
        <f t="shared" si="50"/>
        <v/>
      </c>
      <c r="BF90" s="105"/>
      <c r="BG90" s="97" t="str">
        <f t="shared" si="59"/>
        <v/>
      </c>
      <c r="BH90" s="80"/>
      <c r="BI90" s="85">
        <f t="shared" si="51"/>
        <v>0</v>
      </c>
      <c r="BJ90" s="85">
        <f t="shared" si="51"/>
        <v>0</v>
      </c>
      <c r="BK90" s="12"/>
      <c r="BL90" s="12"/>
      <c r="BM90" s="98">
        <f t="shared" si="72"/>
        <v>0</v>
      </c>
      <c r="BN90" s="99">
        <f t="shared" si="73"/>
        <v>0</v>
      </c>
      <c r="BO90" s="98">
        <f t="shared" si="74"/>
        <v>0</v>
      </c>
      <c r="BP90" s="99">
        <f t="shared" si="75"/>
        <v>0</v>
      </c>
      <c r="BQ90" s="12"/>
      <c r="BR90" s="12"/>
      <c r="BS90" s="12"/>
      <c r="BT90" s="12"/>
      <c r="BU90" s="98">
        <f t="shared" si="46"/>
        <v>0</v>
      </c>
      <c r="BV90" s="99">
        <f t="shared" si="81"/>
        <v>0</v>
      </c>
      <c r="BW90" s="98">
        <f t="shared" si="47"/>
        <v>0</v>
      </c>
      <c r="BX90" s="99">
        <f t="shared" si="60"/>
        <v>0</v>
      </c>
      <c r="BY90" s="105"/>
      <c r="BZ90" s="85">
        <f t="shared" si="52"/>
        <v>0</v>
      </c>
      <c r="CA90" s="85">
        <f t="shared" si="52"/>
        <v>0</v>
      </c>
      <c r="CB90" s="80"/>
      <c r="CC90" s="105"/>
      <c r="CD90" s="12"/>
      <c r="CE90" s="12"/>
      <c r="CF90" s="98">
        <f t="shared" si="76"/>
        <v>0</v>
      </c>
      <c r="CG90" s="99">
        <f t="shared" si="77"/>
        <v>0</v>
      </c>
      <c r="CH90" s="98">
        <f t="shared" si="78"/>
        <v>0</v>
      </c>
      <c r="CI90" s="99">
        <f t="shared" si="79"/>
        <v>0</v>
      </c>
      <c r="CJ90" s="101"/>
      <c r="CK90" s="101"/>
      <c r="CL90" s="101"/>
      <c r="CQ90" s="108"/>
      <c r="CS90" s="102"/>
      <c r="CT90" s="103"/>
      <c r="CU90" s="82"/>
      <c r="CV90" s="105"/>
      <c r="CW90" s="82"/>
      <c r="CX90" s="82"/>
      <c r="CY90" s="82"/>
      <c r="CZ90" s="82"/>
      <c r="DA90" s="82"/>
      <c r="DB90" s="82"/>
      <c r="DC90" s="8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06"/>
      <c r="DP90" s="80"/>
      <c r="DQ90" s="80"/>
      <c r="DR90" s="110"/>
      <c r="DS90" s="80"/>
      <c r="DT90" s="80"/>
      <c r="DU90" s="80"/>
    </row>
    <row r="91" spans="1:125" ht="12.75" x14ac:dyDescent="0.2">
      <c r="A91" s="80">
        <f t="shared" si="80"/>
        <v>75</v>
      </c>
      <c r="B91" s="81"/>
      <c r="C91" s="82"/>
      <c r="D91" s="83" t="str">
        <f t="shared" si="61"/>
        <v/>
      </c>
      <c r="E91" s="84" t="str">
        <f t="shared" si="62"/>
        <v/>
      </c>
      <c r="F91" s="85">
        <f t="shared" si="63"/>
        <v>0</v>
      </c>
      <c r="G91" s="85">
        <f t="shared" si="63"/>
        <v>0</v>
      </c>
      <c r="H91" s="12"/>
      <c r="I91" s="12"/>
      <c r="J91" s="86">
        <f t="shared" si="48"/>
        <v>0</v>
      </c>
      <c r="K91" s="86">
        <f t="shared" si="48"/>
        <v>0</v>
      </c>
      <c r="L91" s="87"/>
      <c r="M91" s="87"/>
      <c r="N91" s="87"/>
      <c r="O91" s="87"/>
      <c r="P91" s="87"/>
      <c r="Q91" s="87"/>
      <c r="R91" s="87"/>
      <c r="S91" s="87"/>
      <c r="T91" s="86">
        <f t="shared" si="64"/>
        <v>0</v>
      </c>
      <c r="U91" s="86">
        <f t="shared" si="65"/>
        <v>0</v>
      </c>
      <c r="V91" s="105"/>
      <c r="W91" s="12"/>
      <c r="X91" s="89">
        <f t="shared" si="53"/>
        <v>0</v>
      </c>
      <c r="Y91" s="12"/>
      <c r="Z91" s="89">
        <f t="shared" si="54"/>
        <v>0</v>
      </c>
      <c r="AA91" s="90"/>
      <c r="AB91" s="91" t="str">
        <f t="shared" si="66"/>
        <v/>
      </c>
      <c r="AC91" s="83" t="str">
        <f t="shared" si="67"/>
        <v/>
      </c>
      <c r="AD91" s="83" t="str">
        <f t="shared" si="68"/>
        <v/>
      </c>
      <c r="AE91" s="83" t="str">
        <f t="shared" si="68"/>
        <v/>
      </c>
      <c r="AF91" s="80"/>
      <c r="AG91" s="27"/>
      <c r="AH91" s="27"/>
      <c r="AI91" s="27"/>
      <c r="AJ91" s="86">
        <f t="shared" si="69"/>
        <v>0</v>
      </c>
      <c r="AK91" s="86">
        <f t="shared" si="69"/>
        <v>0</v>
      </c>
      <c r="AL91" s="27"/>
      <c r="AM91" s="27"/>
      <c r="AN91" s="86">
        <f t="shared" si="70"/>
        <v>0</v>
      </c>
      <c r="AO91" s="86">
        <f t="shared" si="70"/>
        <v>0</v>
      </c>
      <c r="AP91" s="27"/>
      <c r="AQ91" s="27"/>
      <c r="AR91" s="86">
        <f t="shared" si="71"/>
        <v>0</v>
      </c>
      <c r="AS91" s="86">
        <f t="shared" si="71"/>
        <v>0</v>
      </c>
      <c r="AT91" s="27"/>
      <c r="AU91" s="94"/>
      <c r="AW91" s="89">
        <f t="shared" si="55"/>
        <v>0</v>
      </c>
      <c r="AX91" s="89">
        <f t="shared" si="56"/>
        <v>0</v>
      </c>
      <c r="AY91" s="89">
        <f t="shared" si="57"/>
        <v>0</v>
      </c>
      <c r="AZ91" s="89">
        <f t="shared" si="58"/>
        <v>0</v>
      </c>
      <c r="BB91" s="96">
        <f t="shared" si="49"/>
        <v>0</v>
      </c>
      <c r="BC91" s="96">
        <f t="shared" si="49"/>
        <v>0</v>
      </c>
      <c r="BD91" s="84" t="str">
        <f t="shared" si="50"/>
        <v/>
      </c>
      <c r="BE91" s="84" t="str">
        <f t="shared" si="50"/>
        <v/>
      </c>
      <c r="BF91" s="105"/>
      <c r="BG91" s="97" t="str">
        <f t="shared" si="59"/>
        <v/>
      </c>
      <c r="BH91" s="80"/>
      <c r="BI91" s="85">
        <f t="shared" si="51"/>
        <v>0</v>
      </c>
      <c r="BJ91" s="85">
        <f t="shared" si="51"/>
        <v>0</v>
      </c>
      <c r="BK91" s="12"/>
      <c r="BL91" s="12"/>
      <c r="BM91" s="98">
        <f t="shared" si="72"/>
        <v>0</v>
      </c>
      <c r="BN91" s="99">
        <f t="shared" si="73"/>
        <v>0</v>
      </c>
      <c r="BO91" s="98">
        <f t="shared" si="74"/>
        <v>0</v>
      </c>
      <c r="BP91" s="99">
        <f t="shared" si="75"/>
        <v>0</v>
      </c>
      <c r="BQ91" s="12"/>
      <c r="BR91" s="12"/>
      <c r="BS91" s="12"/>
      <c r="BT91" s="12"/>
      <c r="BU91" s="98">
        <f t="shared" ref="BU91:BU96" si="82">IF((BQ91+BR91)=0,0,$BI91+(BQ91+BR91))</f>
        <v>0</v>
      </c>
      <c r="BV91" s="99">
        <f t="shared" si="81"/>
        <v>0</v>
      </c>
      <c r="BW91" s="98">
        <f t="shared" ref="BW91:BW96" si="83">IF((BS91+BT91)=0,0,$BJ91+(BS91+BT91))</f>
        <v>0</v>
      </c>
      <c r="BX91" s="99">
        <f t="shared" si="60"/>
        <v>0</v>
      </c>
      <c r="BY91" s="105"/>
      <c r="BZ91" s="85">
        <f t="shared" si="52"/>
        <v>0</v>
      </c>
      <c r="CA91" s="85">
        <f t="shared" si="52"/>
        <v>0</v>
      </c>
      <c r="CB91" s="80"/>
      <c r="CC91" s="105"/>
      <c r="CD91" s="12"/>
      <c r="CE91" s="12"/>
      <c r="CF91" s="98">
        <f t="shared" si="76"/>
        <v>0</v>
      </c>
      <c r="CG91" s="99">
        <f t="shared" si="77"/>
        <v>0</v>
      </c>
      <c r="CH91" s="98">
        <f t="shared" si="78"/>
        <v>0</v>
      </c>
      <c r="CI91" s="99">
        <f t="shared" si="79"/>
        <v>0</v>
      </c>
      <c r="CJ91" s="101"/>
      <c r="CK91" s="101"/>
      <c r="CL91" s="101"/>
      <c r="CQ91" s="108"/>
      <c r="CS91" s="102"/>
      <c r="CT91" s="103"/>
      <c r="CU91" s="82"/>
      <c r="CV91" s="105"/>
      <c r="CW91" s="82"/>
      <c r="CX91" s="82"/>
      <c r="CY91" s="82"/>
      <c r="CZ91" s="82"/>
      <c r="DA91" s="82"/>
      <c r="DB91" s="82"/>
      <c r="DC91" s="8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06"/>
      <c r="DP91" s="80"/>
      <c r="DQ91" s="80"/>
      <c r="DR91" s="110"/>
      <c r="DS91" s="80"/>
      <c r="DT91" s="80"/>
      <c r="DU91" s="80"/>
    </row>
    <row r="92" spans="1:125" ht="12.75" x14ac:dyDescent="0.2">
      <c r="A92" s="80">
        <f t="shared" si="80"/>
        <v>76</v>
      </c>
      <c r="B92" s="81"/>
      <c r="C92" s="82"/>
      <c r="D92" s="83" t="str">
        <f t="shared" si="61"/>
        <v/>
      </c>
      <c r="E92" s="84" t="str">
        <f t="shared" si="62"/>
        <v/>
      </c>
      <c r="F92" s="85">
        <f t="shared" si="63"/>
        <v>0</v>
      </c>
      <c r="G92" s="85">
        <f t="shared" si="63"/>
        <v>0</v>
      </c>
      <c r="H92" s="12"/>
      <c r="I92" s="12"/>
      <c r="J92" s="86">
        <f t="shared" si="48"/>
        <v>0</v>
      </c>
      <c r="K92" s="86">
        <f t="shared" si="48"/>
        <v>0</v>
      </c>
      <c r="L92" s="87"/>
      <c r="M92" s="87"/>
      <c r="N92" s="87"/>
      <c r="O92" s="87"/>
      <c r="P92" s="87"/>
      <c r="Q92" s="87"/>
      <c r="R92" s="87"/>
      <c r="S92" s="87"/>
      <c r="T92" s="86">
        <f t="shared" si="64"/>
        <v>0</v>
      </c>
      <c r="U92" s="86">
        <f t="shared" si="65"/>
        <v>0</v>
      </c>
      <c r="V92" s="105"/>
      <c r="W92" s="12"/>
      <c r="X92" s="89">
        <f t="shared" si="53"/>
        <v>0</v>
      </c>
      <c r="Y92" s="12"/>
      <c r="Z92" s="89">
        <f t="shared" si="54"/>
        <v>0</v>
      </c>
      <c r="AA92" s="90"/>
      <c r="AB92" s="91" t="str">
        <f t="shared" si="66"/>
        <v/>
      </c>
      <c r="AC92" s="83" t="str">
        <f t="shared" si="67"/>
        <v/>
      </c>
      <c r="AD92" s="83" t="str">
        <f t="shared" si="68"/>
        <v/>
      </c>
      <c r="AE92" s="83" t="str">
        <f t="shared" si="68"/>
        <v/>
      </c>
      <c r="AF92" s="80"/>
      <c r="AG92" s="27"/>
      <c r="AH92" s="27"/>
      <c r="AI92" s="27"/>
      <c r="AJ92" s="86">
        <f t="shared" si="69"/>
        <v>0</v>
      </c>
      <c r="AK92" s="86">
        <f t="shared" si="69"/>
        <v>0</v>
      </c>
      <c r="AL92" s="27"/>
      <c r="AM92" s="27"/>
      <c r="AN92" s="86">
        <f t="shared" si="70"/>
        <v>0</v>
      </c>
      <c r="AO92" s="86">
        <f t="shared" si="70"/>
        <v>0</v>
      </c>
      <c r="AP92" s="27"/>
      <c r="AQ92" s="27"/>
      <c r="AR92" s="86">
        <f t="shared" si="71"/>
        <v>0</v>
      </c>
      <c r="AS92" s="86">
        <f t="shared" si="71"/>
        <v>0</v>
      </c>
      <c r="AT92" s="27"/>
      <c r="AU92" s="94"/>
      <c r="AW92" s="89">
        <f t="shared" si="55"/>
        <v>0</v>
      </c>
      <c r="AX92" s="89">
        <f t="shared" si="56"/>
        <v>0</v>
      </c>
      <c r="AY92" s="89">
        <f t="shared" si="57"/>
        <v>0</v>
      </c>
      <c r="AZ92" s="89">
        <f t="shared" si="58"/>
        <v>0</v>
      </c>
      <c r="BB92" s="96">
        <f t="shared" si="49"/>
        <v>0</v>
      </c>
      <c r="BC92" s="96">
        <f t="shared" si="49"/>
        <v>0</v>
      </c>
      <c r="BD92" s="84" t="str">
        <f t="shared" si="50"/>
        <v/>
      </c>
      <c r="BE92" s="84" t="str">
        <f t="shared" si="50"/>
        <v/>
      </c>
      <c r="BF92" s="105"/>
      <c r="BG92" s="97" t="str">
        <f t="shared" si="59"/>
        <v/>
      </c>
      <c r="BH92" s="80"/>
      <c r="BI92" s="85">
        <f t="shared" si="51"/>
        <v>0</v>
      </c>
      <c r="BJ92" s="85">
        <f t="shared" si="51"/>
        <v>0</v>
      </c>
      <c r="BK92" s="12"/>
      <c r="BL92" s="12"/>
      <c r="BM92" s="98">
        <f t="shared" si="72"/>
        <v>0</v>
      </c>
      <c r="BN92" s="99">
        <f t="shared" si="73"/>
        <v>0</v>
      </c>
      <c r="BO92" s="98">
        <f t="shared" si="74"/>
        <v>0</v>
      </c>
      <c r="BP92" s="99">
        <f t="shared" si="75"/>
        <v>0</v>
      </c>
      <c r="BQ92" s="12"/>
      <c r="BR92" s="12"/>
      <c r="BS92" s="12"/>
      <c r="BT92" s="12"/>
      <c r="BU92" s="98">
        <f t="shared" si="82"/>
        <v>0</v>
      </c>
      <c r="BV92" s="99">
        <f t="shared" si="81"/>
        <v>0</v>
      </c>
      <c r="BW92" s="98">
        <f t="shared" si="83"/>
        <v>0</v>
      </c>
      <c r="BX92" s="99">
        <f t="shared" si="60"/>
        <v>0</v>
      </c>
      <c r="BY92" s="105"/>
      <c r="BZ92" s="85">
        <f t="shared" si="52"/>
        <v>0</v>
      </c>
      <c r="CA92" s="85">
        <f t="shared" si="52"/>
        <v>0</v>
      </c>
      <c r="CB92" s="80"/>
      <c r="CC92" s="105"/>
      <c r="CD92" s="12"/>
      <c r="CE92" s="12"/>
      <c r="CF92" s="98">
        <f t="shared" si="76"/>
        <v>0</v>
      </c>
      <c r="CG92" s="99">
        <f t="shared" si="77"/>
        <v>0</v>
      </c>
      <c r="CH92" s="98">
        <f t="shared" si="78"/>
        <v>0</v>
      </c>
      <c r="CI92" s="99">
        <f t="shared" si="79"/>
        <v>0</v>
      </c>
      <c r="CJ92" s="101"/>
      <c r="CK92" s="101"/>
      <c r="CL92" s="101"/>
      <c r="CQ92" s="108"/>
      <c r="CS92" s="102"/>
      <c r="CT92" s="103"/>
      <c r="CU92" s="82"/>
      <c r="CV92" s="105"/>
      <c r="CW92" s="82"/>
      <c r="CX92" s="82"/>
      <c r="CY92" s="82"/>
      <c r="CZ92" s="82"/>
      <c r="DA92" s="82"/>
      <c r="DB92" s="82"/>
      <c r="DC92" s="8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06"/>
      <c r="DP92" s="80"/>
      <c r="DQ92" s="80"/>
      <c r="DR92" s="110"/>
      <c r="DS92" s="80"/>
      <c r="DT92" s="80"/>
      <c r="DU92" s="80"/>
    </row>
    <row r="93" spans="1:125" ht="12.75" x14ac:dyDescent="0.2">
      <c r="A93" s="80">
        <f t="shared" si="80"/>
        <v>77</v>
      </c>
      <c r="B93" s="81"/>
      <c r="C93" s="82"/>
      <c r="D93" s="83" t="str">
        <f t="shared" si="61"/>
        <v/>
      </c>
      <c r="E93" s="84" t="str">
        <f t="shared" si="62"/>
        <v/>
      </c>
      <c r="F93" s="85">
        <f t="shared" si="63"/>
        <v>0</v>
      </c>
      <c r="G93" s="85">
        <f t="shared" si="63"/>
        <v>0</v>
      </c>
      <c r="H93" s="12"/>
      <c r="I93" s="12"/>
      <c r="J93" s="86">
        <f t="shared" si="48"/>
        <v>0</v>
      </c>
      <c r="K93" s="86">
        <f t="shared" si="48"/>
        <v>0</v>
      </c>
      <c r="L93" s="87"/>
      <c r="M93" s="87"/>
      <c r="N93" s="87"/>
      <c r="O93" s="87"/>
      <c r="P93" s="87"/>
      <c r="Q93" s="87"/>
      <c r="R93" s="87"/>
      <c r="S93" s="87"/>
      <c r="T93" s="86">
        <f t="shared" si="64"/>
        <v>0</v>
      </c>
      <c r="U93" s="86">
        <f t="shared" si="65"/>
        <v>0</v>
      </c>
      <c r="V93" s="105"/>
      <c r="W93" s="12"/>
      <c r="X93" s="89">
        <f t="shared" si="53"/>
        <v>0</v>
      </c>
      <c r="Y93" s="12"/>
      <c r="Z93" s="89">
        <f t="shared" si="54"/>
        <v>0</v>
      </c>
      <c r="AA93" s="90"/>
      <c r="AB93" s="91" t="str">
        <f t="shared" si="66"/>
        <v/>
      </c>
      <c r="AC93" s="83" t="str">
        <f t="shared" si="67"/>
        <v/>
      </c>
      <c r="AD93" s="83" t="str">
        <f t="shared" si="68"/>
        <v/>
      </c>
      <c r="AE93" s="83" t="str">
        <f t="shared" si="68"/>
        <v/>
      </c>
      <c r="AF93" s="80"/>
      <c r="AG93" s="27"/>
      <c r="AH93" s="27"/>
      <c r="AI93" s="27"/>
      <c r="AJ93" s="86">
        <f t="shared" si="69"/>
        <v>0</v>
      </c>
      <c r="AK93" s="86">
        <f t="shared" si="69"/>
        <v>0</v>
      </c>
      <c r="AL93" s="27"/>
      <c r="AM93" s="27"/>
      <c r="AN93" s="86">
        <f t="shared" si="70"/>
        <v>0</v>
      </c>
      <c r="AO93" s="86">
        <f t="shared" si="70"/>
        <v>0</v>
      </c>
      <c r="AP93" s="27"/>
      <c r="AQ93" s="27"/>
      <c r="AR93" s="86">
        <f t="shared" si="71"/>
        <v>0</v>
      </c>
      <c r="AS93" s="86">
        <f t="shared" si="71"/>
        <v>0</v>
      </c>
      <c r="AT93" s="27"/>
      <c r="AU93" s="94"/>
      <c r="AW93" s="89">
        <f t="shared" si="55"/>
        <v>0</v>
      </c>
      <c r="AX93" s="89">
        <f t="shared" si="56"/>
        <v>0</v>
      </c>
      <c r="AY93" s="89">
        <f t="shared" si="57"/>
        <v>0</v>
      </c>
      <c r="AZ93" s="89">
        <f t="shared" si="58"/>
        <v>0</v>
      </c>
      <c r="BB93" s="96">
        <f t="shared" si="49"/>
        <v>0</v>
      </c>
      <c r="BC93" s="96">
        <f t="shared" si="49"/>
        <v>0</v>
      </c>
      <c r="BD93" s="84" t="str">
        <f t="shared" si="50"/>
        <v/>
      </c>
      <c r="BE93" s="84" t="str">
        <f t="shared" si="50"/>
        <v/>
      </c>
      <c r="BF93" s="105"/>
      <c r="BG93" s="97" t="str">
        <f t="shared" si="59"/>
        <v/>
      </c>
      <c r="BH93" s="80"/>
      <c r="BI93" s="85">
        <f t="shared" si="51"/>
        <v>0</v>
      </c>
      <c r="BJ93" s="85">
        <f t="shared" si="51"/>
        <v>0</v>
      </c>
      <c r="BK93" s="12"/>
      <c r="BL93" s="12"/>
      <c r="BM93" s="98">
        <f t="shared" si="72"/>
        <v>0</v>
      </c>
      <c r="BN93" s="99">
        <f t="shared" si="73"/>
        <v>0</v>
      </c>
      <c r="BO93" s="98">
        <f t="shared" si="74"/>
        <v>0</v>
      </c>
      <c r="BP93" s="99">
        <f t="shared" si="75"/>
        <v>0</v>
      </c>
      <c r="BQ93" s="12"/>
      <c r="BR93" s="12"/>
      <c r="BS93" s="12"/>
      <c r="BT93" s="12"/>
      <c r="BU93" s="98">
        <f t="shared" si="82"/>
        <v>0</v>
      </c>
      <c r="BV93" s="99">
        <f t="shared" si="81"/>
        <v>0</v>
      </c>
      <c r="BW93" s="98">
        <f t="shared" si="83"/>
        <v>0</v>
      </c>
      <c r="BX93" s="99">
        <f t="shared" si="60"/>
        <v>0</v>
      </c>
      <c r="BY93" s="105"/>
      <c r="BZ93" s="85">
        <f t="shared" si="52"/>
        <v>0</v>
      </c>
      <c r="CA93" s="85">
        <f t="shared" si="52"/>
        <v>0</v>
      </c>
      <c r="CB93" s="80"/>
      <c r="CC93" s="105"/>
      <c r="CD93" s="12"/>
      <c r="CE93" s="12"/>
      <c r="CF93" s="98">
        <f t="shared" si="76"/>
        <v>0</v>
      </c>
      <c r="CG93" s="99">
        <f t="shared" si="77"/>
        <v>0</v>
      </c>
      <c r="CH93" s="98">
        <f t="shared" si="78"/>
        <v>0</v>
      </c>
      <c r="CI93" s="99">
        <f t="shared" si="79"/>
        <v>0</v>
      </c>
      <c r="CJ93" s="101"/>
      <c r="CK93" s="101"/>
      <c r="CL93" s="101"/>
      <c r="CQ93" s="108"/>
      <c r="CS93" s="102"/>
      <c r="CT93" s="103"/>
      <c r="CU93" s="82"/>
      <c r="CV93" s="105"/>
      <c r="CW93" s="82"/>
      <c r="CX93" s="82"/>
      <c r="CY93" s="82"/>
      <c r="CZ93" s="82"/>
      <c r="DA93" s="82"/>
      <c r="DB93" s="82"/>
      <c r="DC93" s="8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06"/>
      <c r="DP93" s="80"/>
      <c r="DQ93" s="80"/>
      <c r="DR93" s="110"/>
      <c r="DS93" s="80"/>
      <c r="DT93" s="80"/>
      <c r="DU93" s="80"/>
    </row>
    <row r="94" spans="1:125" ht="12.75" x14ac:dyDescent="0.2">
      <c r="A94" s="80">
        <f t="shared" si="80"/>
        <v>78</v>
      </c>
      <c r="B94" s="81"/>
      <c r="C94" s="82"/>
      <c r="D94" s="83" t="str">
        <f t="shared" si="61"/>
        <v/>
      </c>
      <c r="E94" s="84" t="str">
        <f t="shared" si="62"/>
        <v/>
      </c>
      <c r="F94" s="85">
        <f t="shared" si="63"/>
        <v>0</v>
      </c>
      <c r="G94" s="85">
        <f t="shared" si="63"/>
        <v>0</v>
      </c>
      <c r="H94" s="12"/>
      <c r="I94" s="12"/>
      <c r="J94" s="86">
        <f t="shared" si="48"/>
        <v>0</v>
      </c>
      <c r="K94" s="86">
        <f t="shared" si="48"/>
        <v>0</v>
      </c>
      <c r="L94" s="87"/>
      <c r="M94" s="87"/>
      <c r="N94" s="87"/>
      <c r="O94" s="87"/>
      <c r="P94" s="87"/>
      <c r="Q94" s="87"/>
      <c r="R94" s="87"/>
      <c r="S94" s="87"/>
      <c r="T94" s="86">
        <f t="shared" si="64"/>
        <v>0</v>
      </c>
      <c r="U94" s="86">
        <f t="shared" si="65"/>
        <v>0</v>
      </c>
      <c r="V94" s="105"/>
      <c r="W94" s="12"/>
      <c r="X94" s="89">
        <f t="shared" si="53"/>
        <v>0</v>
      </c>
      <c r="Y94" s="12"/>
      <c r="Z94" s="89">
        <f t="shared" si="54"/>
        <v>0</v>
      </c>
      <c r="AA94" s="90"/>
      <c r="AB94" s="91" t="str">
        <f t="shared" si="66"/>
        <v/>
      </c>
      <c r="AC94" s="83" t="str">
        <f t="shared" si="67"/>
        <v/>
      </c>
      <c r="AD94" s="83" t="str">
        <f t="shared" si="68"/>
        <v/>
      </c>
      <c r="AE94" s="83" t="str">
        <f t="shared" si="68"/>
        <v/>
      </c>
      <c r="AF94" s="80"/>
      <c r="AG94" s="27"/>
      <c r="AH94" s="27"/>
      <c r="AI94" s="27"/>
      <c r="AJ94" s="86">
        <f t="shared" si="69"/>
        <v>0</v>
      </c>
      <c r="AK94" s="86">
        <f t="shared" si="69"/>
        <v>0</v>
      </c>
      <c r="AL94" s="27"/>
      <c r="AM94" s="27"/>
      <c r="AN94" s="86">
        <f t="shared" si="70"/>
        <v>0</v>
      </c>
      <c r="AO94" s="86">
        <f t="shared" si="70"/>
        <v>0</v>
      </c>
      <c r="AP94" s="27"/>
      <c r="AQ94" s="27"/>
      <c r="AR94" s="86">
        <f t="shared" si="71"/>
        <v>0</v>
      </c>
      <c r="AS94" s="86">
        <f t="shared" si="71"/>
        <v>0</v>
      </c>
      <c r="AT94" s="27"/>
      <c r="AU94" s="94"/>
      <c r="AW94" s="89">
        <f t="shared" si="55"/>
        <v>0</v>
      </c>
      <c r="AX94" s="89">
        <f t="shared" si="56"/>
        <v>0</v>
      </c>
      <c r="AY94" s="89">
        <f t="shared" si="57"/>
        <v>0</v>
      </c>
      <c r="AZ94" s="89">
        <f t="shared" si="58"/>
        <v>0</v>
      </c>
      <c r="BB94" s="96">
        <f t="shared" si="49"/>
        <v>0</v>
      </c>
      <c r="BC94" s="96">
        <f t="shared" si="49"/>
        <v>0</v>
      </c>
      <c r="BD94" s="84" t="str">
        <f t="shared" si="50"/>
        <v/>
      </c>
      <c r="BE94" s="84" t="str">
        <f t="shared" si="50"/>
        <v/>
      </c>
      <c r="BF94" s="105"/>
      <c r="BG94" s="97" t="str">
        <f t="shared" si="59"/>
        <v/>
      </c>
      <c r="BH94" s="80"/>
      <c r="BI94" s="85">
        <f t="shared" si="51"/>
        <v>0</v>
      </c>
      <c r="BJ94" s="85">
        <f t="shared" si="51"/>
        <v>0</v>
      </c>
      <c r="BK94" s="12"/>
      <c r="BL94" s="12"/>
      <c r="BM94" s="98">
        <f t="shared" si="72"/>
        <v>0</v>
      </c>
      <c r="BN94" s="99">
        <f t="shared" si="73"/>
        <v>0</v>
      </c>
      <c r="BO94" s="98">
        <f t="shared" si="74"/>
        <v>0</v>
      </c>
      <c r="BP94" s="99">
        <f t="shared" si="75"/>
        <v>0</v>
      </c>
      <c r="BQ94" s="12"/>
      <c r="BR94" s="12"/>
      <c r="BS94" s="12"/>
      <c r="BT94" s="12"/>
      <c r="BU94" s="98">
        <f t="shared" si="82"/>
        <v>0</v>
      </c>
      <c r="BV94" s="99">
        <f t="shared" si="81"/>
        <v>0</v>
      </c>
      <c r="BW94" s="98">
        <f t="shared" si="83"/>
        <v>0</v>
      </c>
      <c r="BX94" s="99">
        <f t="shared" si="60"/>
        <v>0</v>
      </c>
      <c r="BY94" s="105"/>
      <c r="BZ94" s="85">
        <f t="shared" si="52"/>
        <v>0</v>
      </c>
      <c r="CA94" s="85">
        <f t="shared" si="52"/>
        <v>0</v>
      </c>
      <c r="CB94" s="80"/>
      <c r="CC94" s="105"/>
      <c r="CD94" s="12"/>
      <c r="CE94" s="12"/>
      <c r="CF94" s="98">
        <f t="shared" si="76"/>
        <v>0</v>
      </c>
      <c r="CG94" s="99">
        <f t="shared" si="77"/>
        <v>0</v>
      </c>
      <c r="CH94" s="98">
        <f t="shared" si="78"/>
        <v>0</v>
      </c>
      <c r="CI94" s="99">
        <f t="shared" si="79"/>
        <v>0</v>
      </c>
      <c r="CJ94" s="101"/>
      <c r="CK94" s="101"/>
      <c r="CL94" s="101"/>
      <c r="CQ94" s="108"/>
      <c r="CS94" s="102"/>
      <c r="CT94" s="103"/>
      <c r="CU94" s="82"/>
      <c r="CV94" s="105"/>
      <c r="CW94" s="82"/>
      <c r="CX94" s="82"/>
      <c r="CY94" s="82"/>
      <c r="CZ94" s="82"/>
      <c r="DA94" s="82"/>
      <c r="DB94" s="82"/>
      <c r="DC94" s="8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06"/>
      <c r="DP94" s="80"/>
      <c r="DQ94" s="80"/>
      <c r="DR94" s="110"/>
      <c r="DS94" s="80"/>
      <c r="DT94" s="80"/>
      <c r="DU94" s="80"/>
    </row>
    <row r="95" spans="1:125" ht="12.75" x14ac:dyDescent="0.2">
      <c r="A95" s="80">
        <f t="shared" si="80"/>
        <v>79</v>
      </c>
      <c r="B95" s="81"/>
      <c r="C95" s="82"/>
      <c r="D95" s="83" t="str">
        <f t="shared" si="61"/>
        <v/>
      </c>
      <c r="E95" s="84" t="str">
        <f t="shared" si="62"/>
        <v/>
      </c>
      <c r="F95" s="85">
        <f t="shared" si="63"/>
        <v>0</v>
      </c>
      <c r="G95" s="85">
        <f t="shared" si="63"/>
        <v>0</v>
      </c>
      <c r="H95" s="12"/>
      <c r="I95" s="12"/>
      <c r="J95" s="86">
        <f t="shared" si="48"/>
        <v>0</v>
      </c>
      <c r="K95" s="86">
        <f t="shared" si="48"/>
        <v>0</v>
      </c>
      <c r="L95" s="87"/>
      <c r="M95" s="87"/>
      <c r="N95" s="87"/>
      <c r="O95" s="87"/>
      <c r="P95" s="87"/>
      <c r="Q95" s="87"/>
      <c r="R95" s="87"/>
      <c r="S95" s="87"/>
      <c r="T95" s="86">
        <f t="shared" si="64"/>
        <v>0</v>
      </c>
      <c r="U95" s="86">
        <f t="shared" si="65"/>
        <v>0</v>
      </c>
      <c r="V95" s="105"/>
      <c r="W95" s="12"/>
      <c r="X95" s="89">
        <f t="shared" si="53"/>
        <v>0</v>
      </c>
      <c r="Y95" s="12"/>
      <c r="Z95" s="89">
        <f t="shared" si="54"/>
        <v>0</v>
      </c>
      <c r="AA95" s="90"/>
      <c r="AB95" s="91" t="str">
        <f t="shared" si="66"/>
        <v/>
      </c>
      <c r="AC95" s="83" t="str">
        <f t="shared" si="67"/>
        <v/>
      </c>
      <c r="AD95" s="83" t="str">
        <f t="shared" si="68"/>
        <v/>
      </c>
      <c r="AE95" s="83" t="str">
        <f t="shared" si="68"/>
        <v/>
      </c>
      <c r="AF95" s="80"/>
      <c r="AG95" s="27"/>
      <c r="AH95" s="27"/>
      <c r="AI95" s="27"/>
      <c r="AJ95" s="86">
        <f t="shared" si="69"/>
        <v>0</v>
      </c>
      <c r="AK95" s="86">
        <f t="shared" si="69"/>
        <v>0</v>
      </c>
      <c r="AL95" s="27"/>
      <c r="AM95" s="27"/>
      <c r="AN95" s="86">
        <f t="shared" si="70"/>
        <v>0</v>
      </c>
      <c r="AO95" s="86">
        <f t="shared" si="70"/>
        <v>0</v>
      </c>
      <c r="AP95" s="27"/>
      <c r="AQ95" s="27"/>
      <c r="AR95" s="86">
        <f t="shared" si="71"/>
        <v>0</v>
      </c>
      <c r="AS95" s="86">
        <f t="shared" si="71"/>
        <v>0</v>
      </c>
      <c r="AT95" s="27"/>
      <c r="AU95" s="94"/>
      <c r="AW95" s="89">
        <f t="shared" si="55"/>
        <v>0</v>
      </c>
      <c r="AX95" s="89">
        <f t="shared" si="56"/>
        <v>0</v>
      </c>
      <c r="AY95" s="89">
        <f t="shared" si="57"/>
        <v>0</v>
      </c>
      <c r="AZ95" s="89">
        <f t="shared" si="58"/>
        <v>0</v>
      </c>
      <c r="BB95" s="96">
        <f t="shared" si="49"/>
        <v>0</v>
      </c>
      <c r="BC95" s="96">
        <f t="shared" si="49"/>
        <v>0</v>
      </c>
      <c r="BD95" s="84" t="str">
        <f t="shared" si="50"/>
        <v/>
      </c>
      <c r="BE95" s="84" t="str">
        <f t="shared" si="50"/>
        <v/>
      </c>
      <c r="BF95" s="105"/>
      <c r="BG95" s="97" t="str">
        <f t="shared" si="59"/>
        <v/>
      </c>
      <c r="BH95" s="80"/>
      <c r="BI95" s="85">
        <f t="shared" si="51"/>
        <v>0</v>
      </c>
      <c r="BJ95" s="85">
        <f t="shared" si="51"/>
        <v>0</v>
      </c>
      <c r="BK95" s="12"/>
      <c r="BL95" s="12"/>
      <c r="BM95" s="98">
        <f t="shared" si="72"/>
        <v>0</v>
      </c>
      <c r="BN95" s="99">
        <f t="shared" si="73"/>
        <v>0</v>
      </c>
      <c r="BO95" s="98">
        <f t="shared" si="74"/>
        <v>0</v>
      </c>
      <c r="BP95" s="99">
        <f t="shared" si="75"/>
        <v>0</v>
      </c>
      <c r="BQ95" s="12"/>
      <c r="BR95" s="12"/>
      <c r="BS95" s="12"/>
      <c r="BT95" s="12"/>
      <c r="BU95" s="98">
        <f t="shared" si="82"/>
        <v>0</v>
      </c>
      <c r="BV95" s="99">
        <f t="shared" si="81"/>
        <v>0</v>
      </c>
      <c r="BW95" s="98">
        <f t="shared" si="83"/>
        <v>0</v>
      </c>
      <c r="BX95" s="99">
        <f t="shared" si="60"/>
        <v>0</v>
      </c>
      <c r="BY95" s="105"/>
      <c r="BZ95" s="85">
        <f t="shared" si="52"/>
        <v>0</v>
      </c>
      <c r="CA95" s="85">
        <f t="shared" si="52"/>
        <v>0</v>
      </c>
      <c r="CB95" s="80"/>
      <c r="CC95" s="105"/>
      <c r="CD95" s="12"/>
      <c r="CE95" s="12"/>
      <c r="CF95" s="98">
        <f t="shared" si="76"/>
        <v>0</v>
      </c>
      <c r="CG95" s="99">
        <f t="shared" si="77"/>
        <v>0</v>
      </c>
      <c r="CH95" s="98">
        <f t="shared" si="78"/>
        <v>0</v>
      </c>
      <c r="CI95" s="99">
        <f t="shared" si="79"/>
        <v>0</v>
      </c>
      <c r="CJ95" s="101"/>
      <c r="CK95" s="101"/>
      <c r="CL95" s="101"/>
      <c r="CQ95" s="108"/>
      <c r="CS95" s="102"/>
      <c r="CT95" s="103"/>
      <c r="CU95" s="82"/>
      <c r="CV95" s="105"/>
      <c r="CW95" s="82"/>
      <c r="CX95" s="82"/>
      <c r="CY95" s="82"/>
      <c r="CZ95" s="82"/>
      <c r="DA95" s="82"/>
      <c r="DB95" s="82"/>
      <c r="DC95" s="8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06"/>
      <c r="DP95" s="80"/>
      <c r="DQ95" s="80"/>
      <c r="DR95" s="110"/>
      <c r="DS95" s="80"/>
      <c r="DT95" s="80"/>
      <c r="DU95" s="80"/>
    </row>
    <row r="96" spans="1:125" ht="12.75" x14ac:dyDescent="0.2">
      <c r="A96" s="80">
        <f t="shared" si="80"/>
        <v>80</v>
      </c>
      <c r="B96" s="81"/>
      <c r="C96" s="82"/>
      <c r="D96" s="83" t="str">
        <f t="shared" si="61"/>
        <v/>
      </c>
      <c r="E96" s="84" t="str">
        <f t="shared" si="62"/>
        <v/>
      </c>
      <c r="F96" s="85">
        <f t="shared" si="63"/>
        <v>0</v>
      </c>
      <c r="G96" s="85">
        <f t="shared" si="63"/>
        <v>0</v>
      </c>
      <c r="H96" s="12"/>
      <c r="I96" s="12"/>
      <c r="J96" s="86">
        <f t="shared" si="48"/>
        <v>0</v>
      </c>
      <c r="K96" s="86">
        <f t="shared" si="48"/>
        <v>0</v>
      </c>
      <c r="L96" s="87"/>
      <c r="M96" s="87"/>
      <c r="N96" s="87"/>
      <c r="O96" s="87"/>
      <c r="P96" s="87"/>
      <c r="Q96" s="87"/>
      <c r="R96" s="87"/>
      <c r="S96" s="87"/>
      <c r="T96" s="86">
        <f t="shared" si="64"/>
        <v>0</v>
      </c>
      <c r="U96" s="86">
        <f t="shared" si="65"/>
        <v>0</v>
      </c>
      <c r="V96" s="105"/>
      <c r="W96" s="12"/>
      <c r="X96" s="89">
        <f t="shared" si="53"/>
        <v>0</v>
      </c>
      <c r="Y96" s="12"/>
      <c r="Z96" s="89">
        <f t="shared" si="54"/>
        <v>0</v>
      </c>
      <c r="AA96" s="90"/>
      <c r="AB96" s="91" t="str">
        <f t="shared" si="66"/>
        <v/>
      </c>
      <c r="AC96" s="83" t="str">
        <f t="shared" si="67"/>
        <v/>
      </c>
      <c r="AD96" s="83" t="str">
        <f t="shared" si="68"/>
        <v/>
      </c>
      <c r="AE96" s="83" t="str">
        <f t="shared" si="68"/>
        <v/>
      </c>
      <c r="AF96" s="80"/>
      <c r="AG96" s="27"/>
      <c r="AH96" s="27"/>
      <c r="AI96" s="27"/>
      <c r="AJ96" s="86">
        <f t="shared" si="69"/>
        <v>0</v>
      </c>
      <c r="AK96" s="86">
        <f t="shared" si="69"/>
        <v>0</v>
      </c>
      <c r="AL96" s="27"/>
      <c r="AM96" s="27"/>
      <c r="AN96" s="86">
        <f t="shared" si="70"/>
        <v>0</v>
      </c>
      <c r="AO96" s="86">
        <f t="shared" si="70"/>
        <v>0</v>
      </c>
      <c r="AP96" s="27"/>
      <c r="AQ96" s="27"/>
      <c r="AR96" s="86">
        <f t="shared" si="71"/>
        <v>0</v>
      </c>
      <c r="AS96" s="86">
        <f t="shared" si="71"/>
        <v>0</v>
      </c>
      <c r="AT96" s="27"/>
      <c r="AU96" s="94"/>
      <c r="AW96" s="89">
        <f t="shared" si="55"/>
        <v>0</v>
      </c>
      <c r="AX96" s="89">
        <f t="shared" si="56"/>
        <v>0</v>
      </c>
      <c r="AY96" s="89">
        <f t="shared" si="57"/>
        <v>0</v>
      </c>
      <c r="AZ96" s="89">
        <f t="shared" si="58"/>
        <v>0</v>
      </c>
      <c r="BB96" s="96">
        <f t="shared" si="49"/>
        <v>0</v>
      </c>
      <c r="BC96" s="96">
        <f t="shared" si="49"/>
        <v>0</v>
      </c>
      <c r="BD96" s="84" t="str">
        <f t="shared" si="50"/>
        <v/>
      </c>
      <c r="BE96" s="84" t="str">
        <f t="shared" si="50"/>
        <v/>
      </c>
      <c r="BF96" s="105"/>
      <c r="BG96" s="97" t="str">
        <f t="shared" si="59"/>
        <v/>
      </c>
      <c r="BH96" s="80"/>
      <c r="BI96" s="85">
        <f t="shared" si="51"/>
        <v>0</v>
      </c>
      <c r="BJ96" s="85">
        <f t="shared" si="51"/>
        <v>0</v>
      </c>
      <c r="BK96" s="12"/>
      <c r="BL96" s="12"/>
      <c r="BM96" s="98">
        <f t="shared" si="72"/>
        <v>0</v>
      </c>
      <c r="BN96" s="99">
        <f t="shared" si="73"/>
        <v>0</v>
      </c>
      <c r="BO96" s="98">
        <f t="shared" si="74"/>
        <v>0</v>
      </c>
      <c r="BP96" s="99">
        <f t="shared" si="75"/>
        <v>0</v>
      </c>
      <c r="BQ96" s="12"/>
      <c r="BR96" s="12"/>
      <c r="BS96" s="12"/>
      <c r="BT96" s="12"/>
      <c r="BU96" s="98">
        <f t="shared" si="82"/>
        <v>0</v>
      </c>
      <c r="BV96" s="99">
        <f t="shared" si="81"/>
        <v>0</v>
      </c>
      <c r="BW96" s="98">
        <f t="shared" si="83"/>
        <v>0</v>
      </c>
      <c r="BX96" s="99">
        <f t="shared" si="60"/>
        <v>0</v>
      </c>
      <c r="BY96" s="105"/>
      <c r="BZ96" s="85">
        <f t="shared" si="52"/>
        <v>0</v>
      </c>
      <c r="CA96" s="85">
        <f t="shared" si="52"/>
        <v>0</v>
      </c>
      <c r="CB96" s="80"/>
      <c r="CC96" s="105"/>
      <c r="CD96" s="12"/>
      <c r="CE96" s="12"/>
      <c r="CF96" s="98">
        <f t="shared" si="76"/>
        <v>0</v>
      </c>
      <c r="CG96" s="99">
        <f t="shared" si="77"/>
        <v>0</v>
      </c>
      <c r="CH96" s="98">
        <f t="shared" si="78"/>
        <v>0</v>
      </c>
      <c r="CI96" s="99">
        <f t="shared" si="79"/>
        <v>0</v>
      </c>
      <c r="CJ96" s="101"/>
      <c r="CK96" s="101"/>
      <c r="CL96" s="101"/>
      <c r="CQ96" s="108"/>
      <c r="CS96" s="102"/>
      <c r="CT96" s="103"/>
      <c r="CU96" s="82"/>
      <c r="CV96" s="105"/>
      <c r="CW96" s="82"/>
      <c r="CX96" s="82"/>
      <c r="CY96" s="82"/>
      <c r="CZ96" s="82"/>
      <c r="DA96" s="82"/>
      <c r="DB96" s="82"/>
      <c r="DC96" s="8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06"/>
      <c r="DP96" s="80"/>
      <c r="DQ96" s="80"/>
      <c r="DR96" s="110"/>
      <c r="DS96" s="80"/>
      <c r="DT96" s="80"/>
      <c r="DU96" s="80"/>
    </row>
    <row r="97" spans="1:87" s="115" customFormat="1" ht="12.75" x14ac:dyDescent="0.2">
      <c r="A97" s="111"/>
      <c r="B97" s="112"/>
      <c r="C97" s="111"/>
      <c r="D97" s="113"/>
      <c r="E97" s="113"/>
      <c r="F97" s="114"/>
      <c r="G97" s="113"/>
      <c r="H97" s="111"/>
      <c r="I97" s="111"/>
      <c r="J97" s="113"/>
      <c r="K97" s="113"/>
      <c r="L97" s="111"/>
      <c r="M97" s="111"/>
      <c r="N97" s="111"/>
      <c r="O97" s="111"/>
      <c r="P97" s="111"/>
      <c r="Q97" s="111"/>
      <c r="R97" s="111"/>
      <c r="T97" s="116"/>
      <c r="U97" s="116"/>
      <c r="V97" s="117"/>
      <c r="X97" s="116"/>
      <c r="Z97" s="116"/>
      <c r="AB97" s="116"/>
      <c r="AC97" s="116"/>
      <c r="AD97" s="116"/>
      <c r="AE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7"/>
      <c r="BG97" s="116"/>
      <c r="BI97" s="116"/>
      <c r="BJ97" s="116"/>
      <c r="BM97" s="116"/>
      <c r="BN97" s="116"/>
      <c r="BO97" s="116"/>
      <c r="BP97" s="116"/>
      <c r="BU97" s="116"/>
      <c r="BV97" s="116"/>
      <c r="BW97" s="116"/>
      <c r="BX97" s="116"/>
      <c r="BY97" s="117"/>
      <c r="BZ97" s="116"/>
      <c r="CA97" s="116"/>
      <c r="CC97" s="117"/>
      <c r="CF97" s="116"/>
      <c r="CG97" s="116"/>
      <c r="CH97" s="116"/>
      <c r="CI97" s="116"/>
    </row>
    <row r="98" spans="1:87" s="115" customFormat="1" ht="12.75" x14ac:dyDescent="0.2">
      <c r="A98" s="111"/>
      <c r="B98" s="112"/>
      <c r="C98" s="111"/>
      <c r="D98" s="113"/>
      <c r="E98" s="113"/>
      <c r="F98" s="114"/>
      <c r="G98" s="113"/>
      <c r="H98" s="111"/>
      <c r="I98" s="111"/>
      <c r="J98" s="113"/>
      <c r="K98" s="113"/>
      <c r="L98" s="111"/>
      <c r="M98" s="111"/>
      <c r="N98" s="111"/>
      <c r="O98" s="111"/>
      <c r="P98" s="111"/>
      <c r="Q98" s="111"/>
      <c r="R98" s="111"/>
      <c r="T98" s="116"/>
      <c r="U98" s="116"/>
      <c r="V98" s="117"/>
      <c r="X98" s="116"/>
      <c r="Z98" s="116"/>
      <c r="AB98" s="116"/>
      <c r="AC98" s="116"/>
      <c r="AD98" s="116"/>
      <c r="AE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7"/>
      <c r="BG98" s="116"/>
      <c r="BI98" s="116"/>
      <c r="BJ98" s="116"/>
      <c r="BM98" s="116"/>
      <c r="BN98" s="116"/>
      <c r="BO98" s="116"/>
      <c r="BP98" s="116"/>
      <c r="BU98" s="116"/>
      <c r="BV98" s="116"/>
      <c r="BW98" s="116"/>
      <c r="BX98" s="116"/>
      <c r="BY98" s="117"/>
      <c r="BZ98" s="116"/>
      <c r="CA98" s="116"/>
      <c r="CC98" s="117"/>
      <c r="CF98" s="116"/>
      <c r="CG98" s="116"/>
      <c r="CH98" s="116"/>
      <c r="CI98" s="116"/>
    </row>
    <row r="99" spans="1:87" s="115" customFormat="1" ht="12.75" x14ac:dyDescent="0.2">
      <c r="A99" s="111"/>
      <c r="B99" s="112"/>
      <c r="C99" s="111"/>
      <c r="D99" s="113"/>
      <c r="E99" s="113"/>
      <c r="F99" s="114"/>
      <c r="G99" s="113"/>
      <c r="H99" s="111"/>
      <c r="I99" s="111"/>
      <c r="J99" s="113"/>
      <c r="K99" s="113"/>
      <c r="L99" s="111"/>
      <c r="M99" s="111"/>
      <c r="N99" s="111"/>
      <c r="O99" s="111"/>
      <c r="P99" s="111"/>
      <c r="Q99" s="111"/>
      <c r="R99" s="111"/>
      <c r="T99" s="116"/>
      <c r="U99" s="116"/>
      <c r="V99" s="117"/>
      <c r="X99" s="116"/>
      <c r="Z99" s="116"/>
      <c r="AB99" s="116"/>
      <c r="AC99" s="116"/>
      <c r="AD99" s="116"/>
      <c r="AE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7"/>
      <c r="BG99" s="116"/>
      <c r="BI99" s="116"/>
      <c r="BJ99" s="116"/>
      <c r="BM99" s="116"/>
      <c r="BN99" s="116"/>
      <c r="BO99" s="116"/>
      <c r="BP99" s="116"/>
      <c r="BU99" s="116"/>
      <c r="BV99" s="116"/>
      <c r="BW99" s="116"/>
      <c r="BX99" s="116"/>
      <c r="BY99" s="117"/>
      <c r="BZ99" s="116"/>
      <c r="CA99" s="116"/>
      <c r="CC99" s="117"/>
      <c r="CF99" s="116"/>
      <c r="CG99" s="116"/>
      <c r="CH99" s="116"/>
      <c r="CI99" s="116"/>
    </row>
    <row r="100" spans="1:87" s="115" customFormat="1" ht="12.75" x14ac:dyDescent="0.2">
      <c r="B100" s="117"/>
      <c r="D100" s="116"/>
      <c r="E100" s="116"/>
      <c r="F100" s="116"/>
      <c r="G100" s="118"/>
      <c r="H100" s="119"/>
      <c r="I100" s="119"/>
      <c r="J100" s="116"/>
      <c r="K100" s="116"/>
      <c r="T100" s="116"/>
      <c r="U100" s="116"/>
      <c r="V100" s="117"/>
      <c r="X100" s="116"/>
      <c r="Z100" s="116"/>
      <c r="AB100" s="116"/>
      <c r="AC100" s="116"/>
      <c r="AD100" s="116"/>
      <c r="AE100" s="116"/>
      <c r="AW100" s="116"/>
      <c r="AX100" s="116"/>
      <c r="AY100" s="116"/>
      <c r="AZ100" s="116"/>
      <c r="BA100" s="116"/>
      <c r="BB100" s="116"/>
      <c r="BC100" s="116"/>
      <c r="BD100" s="116"/>
      <c r="BE100" s="116"/>
      <c r="BF100" s="117"/>
      <c r="BG100" s="116"/>
      <c r="BI100" s="116"/>
      <c r="BJ100" s="116"/>
      <c r="BM100" s="116"/>
      <c r="BN100" s="116"/>
      <c r="BO100" s="116"/>
      <c r="BP100" s="116"/>
      <c r="BU100" s="116"/>
      <c r="BV100" s="116"/>
      <c r="BW100" s="116"/>
      <c r="BX100" s="116"/>
      <c r="BY100" s="117"/>
      <c r="BZ100" s="116"/>
      <c r="CA100" s="116"/>
      <c r="CC100" s="117"/>
      <c r="CF100" s="116"/>
      <c r="CG100" s="116"/>
      <c r="CH100" s="116"/>
      <c r="CI100" s="116"/>
    </row>
    <row r="101" spans="1:87" s="115" customFormat="1" ht="12.75" x14ac:dyDescent="0.2">
      <c r="D101" s="116"/>
      <c r="E101" s="120"/>
      <c r="F101" s="116"/>
      <c r="G101" s="121" t="s">
        <v>93</v>
      </c>
      <c r="H101" s="122"/>
      <c r="I101" s="122"/>
      <c r="J101" s="116"/>
      <c r="K101" s="116"/>
      <c r="T101" s="116"/>
      <c r="U101" s="116"/>
      <c r="V101" s="117"/>
      <c r="X101" s="116"/>
      <c r="Z101" s="116"/>
      <c r="AB101" s="116"/>
      <c r="AC101" s="116"/>
      <c r="AD101" s="116"/>
      <c r="AE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7"/>
      <c r="BG101" s="116"/>
      <c r="BI101" s="116"/>
      <c r="BJ101" s="116"/>
      <c r="BM101" s="116"/>
      <c r="BN101" s="116"/>
      <c r="BO101" s="116"/>
      <c r="BP101" s="116"/>
      <c r="BU101" s="116"/>
      <c r="BV101" s="116"/>
      <c r="BW101" s="116"/>
      <c r="BX101" s="116"/>
      <c r="BY101" s="117"/>
      <c r="BZ101" s="116"/>
      <c r="CA101" s="116"/>
      <c r="CC101" s="117"/>
      <c r="CF101" s="116"/>
      <c r="CG101" s="116"/>
      <c r="CH101" s="116"/>
      <c r="CI101" s="116"/>
    </row>
    <row r="102" spans="1:87" s="115" customFormat="1" ht="12.75" x14ac:dyDescent="0.2">
      <c r="D102" s="116"/>
      <c r="E102" s="120"/>
      <c r="F102" s="116"/>
      <c r="G102" s="121"/>
      <c r="H102" s="129" t="s">
        <v>94</v>
      </c>
      <c r="I102" s="129"/>
      <c r="J102" s="116"/>
      <c r="K102" s="116"/>
      <c r="T102" s="116"/>
      <c r="U102" s="116"/>
      <c r="V102" s="117"/>
      <c r="X102" s="116"/>
      <c r="Z102" s="116"/>
      <c r="AB102" s="116"/>
      <c r="AC102" s="116"/>
      <c r="AD102" s="116"/>
      <c r="AE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7"/>
      <c r="BG102" s="116"/>
      <c r="BI102" s="116"/>
      <c r="BJ102" s="116"/>
      <c r="BM102" s="116"/>
      <c r="BN102" s="116"/>
      <c r="BO102" s="116"/>
      <c r="BP102" s="116"/>
      <c r="BU102" s="116"/>
      <c r="BV102" s="116"/>
      <c r="BW102" s="116"/>
      <c r="BX102" s="116"/>
      <c r="BY102" s="117"/>
      <c r="BZ102" s="116"/>
      <c r="CA102" s="116"/>
      <c r="CC102" s="117"/>
      <c r="CF102" s="116"/>
      <c r="CG102" s="116"/>
      <c r="CH102" s="116"/>
      <c r="CI102" s="116"/>
    </row>
    <row r="103" spans="1:87" s="115" customFormat="1" ht="12.75" x14ac:dyDescent="0.2">
      <c r="D103" s="116"/>
      <c r="E103" s="120"/>
      <c r="F103" s="116"/>
      <c r="G103" s="121"/>
      <c r="H103" s="123"/>
      <c r="I103" s="123"/>
      <c r="J103" s="116"/>
      <c r="K103" s="116"/>
      <c r="T103" s="116"/>
      <c r="U103" s="116"/>
      <c r="V103" s="117"/>
      <c r="X103" s="116"/>
      <c r="Z103" s="116"/>
      <c r="AB103" s="116"/>
      <c r="AC103" s="116"/>
      <c r="AD103" s="116"/>
      <c r="AE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7"/>
      <c r="BG103" s="116"/>
      <c r="BI103" s="116"/>
      <c r="BJ103" s="116"/>
      <c r="BM103" s="116"/>
      <c r="BN103" s="116"/>
      <c r="BO103" s="116"/>
      <c r="BP103" s="116"/>
      <c r="BU103" s="116"/>
      <c r="BV103" s="116"/>
      <c r="BW103" s="116"/>
      <c r="BX103" s="116"/>
      <c r="BY103" s="117"/>
      <c r="BZ103" s="116"/>
      <c r="CA103" s="116"/>
      <c r="CC103" s="117"/>
      <c r="CF103" s="116"/>
      <c r="CG103" s="116"/>
      <c r="CH103" s="116"/>
      <c r="CI103" s="116"/>
    </row>
    <row r="104" spans="1:87" s="115" customFormat="1" ht="12.75" x14ac:dyDescent="0.2">
      <c r="D104" s="116"/>
      <c r="E104" s="120"/>
      <c r="F104" s="116"/>
      <c r="G104" s="121"/>
      <c r="H104" s="111"/>
      <c r="I104" s="111"/>
      <c r="J104" s="116"/>
      <c r="K104" s="116"/>
      <c r="T104" s="116"/>
      <c r="U104" s="116"/>
      <c r="V104" s="117"/>
      <c r="X104" s="116"/>
      <c r="Z104" s="116"/>
      <c r="AB104" s="116"/>
      <c r="AC104" s="116"/>
      <c r="AD104" s="116"/>
      <c r="AE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7"/>
      <c r="BG104" s="116"/>
      <c r="BI104" s="116"/>
      <c r="BJ104" s="116"/>
      <c r="BM104" s="116"/>
      <c r="BN104" s="116"/>
      <c r="BO104" s="116"/>
      <c r="BP104" s="116"/>
      <c r="BU104" s="116"/>
      <c r="BV104" s="116"/>
      <c r="BW104" s="116"/>
      <c r="BX104" s="116"/>
      <c r="BY104" s="117"/>
      <c r="BZ104" s="116"/>
      <c r="CA104" s="116"/>
      <c r="CC104" s="117"/>
      <c r="CF104" s="116"/>
      <c r="CG104" s="116"/>
      <c r="CH104" s="116"/>
      <c r="CI104" s="116"/>
    </row>
    <row r="105" spans="1:87" s="115" customFormat="1" ht="12.75" x14ac:dyDescent="0.2">
      <c r="D105" s="116"/>
      <c r="E105" s="120"/>
      <c r="F105" s="116"/>
      <c r="G105" s="121"/>
      <c r="H105" s="111"/>
      <c r="I105" s="111"/>
      <c r="J105" s="116"/>
      <c r="K105" s="116"/>
      <c r="T105" s="116"/>
      <c r="U105" s="116"/>
      <c r="V105" s="117"/>
      <c r="X105" s="116"/>
      <c r="Z105" s="116"/>
      <c r="AB105" s="116"/>
      <c r="AC105" s="116"/>
      <c r="AD105" s="116"/>
      <c r="AE105" s="116"/>
      <c r="AW105" s="116"/>
      <c r="AX105" s="116"/>
      <c r="AY105" s="116"/>
      <c r="AZ105" s="116"/>
      <c r="BA105" s="116"/>
      <c r="BB105" s="116"/>
      <c r="BC105" s="116"/>
      <c r="BD105" s="116"/>
      <c r="BE105" s="116"/>
      <c r="BF105" s="117"/>
      <c r="BG105" s="116"/>
      <c r="BI105" s="116"/>
      <c r="BJ105" s="116"/>
      <c r="BM105" s="116"/>
      <c r="BN105" s="116"/>
      <c r="BO105" s="116"/>
      <c r="BP105" s="116"/>
      <c r="BU105" s="116"/>
      <c r="BV105" s="116"/>
      <c r="BW105" s="116"/>
      <c r="BX105" s="116"/>
      <c r="BY105" s="117"/>
      <c r="BZ105" s="116"/>
      <c r="CA105" s="116"/>
      <c r="CC105" s="117"/>
      <c r="CF105" s="116"/>
      <c r="CG105" s="116"/>
      <c r="CH105" s="116"/>
      <c r="CI105" s="116"/>
    </row>
    <row r="106" spans="1:87" s="115" customFormat="1" ht="12.75" x14ac:dyDescent="0.2">
      <c r="D106" s="116"/>
      <c r="E106" s="120"/>
      <c r="F106" s="116"/>
      <c r="G106" s="121" t="s">
        <v>95</v>
      </c>
      <c r="H106" s="111"/>
      <c r="I106" s="111"/>
      <c r="J106" s="116"/>
      <c r="K106" s="116"/>
      <c r="T106" s="116"/>
      <c r="U106" s="116"/>
      <c r="V106" s="117"/>
      <c r="X106" s="116"/>
      <c r="Z106" s="116"/>
      <c r="AB106" s="116"/>
      <c r="AC106" s="116"/>
      <c r="AD106" s="116"/>
      <c r="AE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7"/>
      <c r="BG106" s="116"/>
      <c r="BI106" s="116"/>
      <c r="BJ106" s="116"/>
      <c r="BM106" s="116"/>
      <c r="BN106" s="116"/>
      <c r="BO106" s="116"/>
      <c r="BP106" s="116"/>
      <c r="BU106" s="116"/>
      <c r="BV106" s="116"/>
      <c r="BW106" s="116"/>
      <c r="BX106" s="116"/>
      <c r="BY106" s="117"/>
      <c r="BZ106" s="116"/>
      <c r="CA106" s="116"/>
      <c r="CC106" s="117"/>
      <c r="CF106" s="116"/>
      <c r="CG106" s="116"/>
      <c r="CH106" s="116"/>
      <c r="CI106" s="116"/>
    </row>
    <row r="107" spans="1:87" s="115" customFormat="1" ht="12.75" x14ac:dyDescent="0.2">
      <c r="D107" s="116"/>
      <c r="E107" s="120"/>
      <c r="F107" s="116"/>
      <c r="G107" s="121"/>
      <c r="H107" s="129" t="s">
        <v>94</v>
      </c>
      <c r="I107" s="129"/>
      <c r="J107" s="116"/>
      <c r="K107" s="116"/>
      <c r="T107" s="116"/>
      <c r="U107" s="116"/>
      <c r="V107" s="117"/>
      <c r="X107" s="116"/>
      <c r="Z107" s="116"/>
      <c r="AB107" s="116"/>
      <c r="AC107" s="116"/>
      <c r="AD107" s="116"/>
      <c r="AE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7"/>
      <c r="BG107" s="116"/>
      <c r="BI107" s="116"/>
      <c r="BJ107" s="116"/>
      <c r="BM107" s="116"/>
      <c r="BN107" s="116"/>
      <c r="BO107" s="116"/>
      <c r="BP107" s="116"/>
      <c r="BU107" s="116"/>
      <c r="BV107" s="116"/>
      <c r="BW107" s="116"/>
      <c r="BX107" s="116"/>
      <c r="BY107" s="117"/>
      <c r="BZ107" s="116"/>
      <c r="CA107" s="116"/>
      <c r="CC107" s="117"/>
      <c r="CF107" s="116"/>
      <c r="CG107" s="116"/>
      <c r="CH107" s="116"/>
      <c r="CI107" s="116"/>
    </row>
    <row r="108" spans="1:87" s="115" customFormat="1" ht="12.75" x14ac:dyDescent="0.2">
      <c r="D108" s="116"/>
      <c r="E108" s="120"/>
      <c r="F108" s="116"/>
      <c r="G108" s="121"/>
      <c r="J108" s="116"/>
      <c r="K108" s="116"/>
      <c r="T108" s="116"/>
      <c r="U108" s="116"/>
      <c r="V108" s="117"/>
      <c r="X108" s="116"/>
      <c r="Z108" s="116"/>
      <c r="AB108" s="116"/>
      <c r="AC108" s="116"/>
      <c r="AD108" s="116"/>
      <c r="AE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7"/>
      <c r="BG108" s="116"/>
      <c r="BI108" s="116"/>
      <c r="BJ108" s="116"/>
      <c r="BM108" s="116"/>
      <c r="BN108" s="116"/>
      <c r="BO108" s="116"/>
      <c r="BP108" s="116"/>
      <c r="BU108" s="116"/>
      <c r="BV108" s="116"/>
      <c r="BW108" s="116"/>
      <c r="BX108" s="116"/>
      <c r="BY108" s="117"/>
      <c r="BZ108" s="116"/>
      <c r="CA108" s="116"/>
      <c r="CC108" s="117"/>
      <c r="CF108" s="116"/>
      <c r="CG108" s="116"/>
      <c r="CH108" s="116"/>
      <c r="CI108" s="116"/>
    </row>
    <row r="109" spans="1:87" s="115" customFormat="1" ht="12.75" x14ac:dyDescent="0.2">
      <c r="D109" s="116"/>
      <c r="E109" s="120"/>
      <c r="F109" s="116"/>
      <c r="G109" s="116"/>
      <c r="J109" s="116"/>
      <c r="K109" s="116"/>
      <c r="T109" s="116"/>
      <c r="U109" s="116"/>
      <c r="V109" s="117"/>
      <c r="X109" s="116"/>
      <c r="Z109" s="116"/>
      <c r="AB109" s="116"/>
      <c r="AC109" s="116"/>
      <c r="AD109" s="116"/>
      <c r="AE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7"/>
      <c r="BG109" s="116"/>
      <c r="BI109" s="116"/>
      <c r="BJ109" s="116"/>
      <c r="BM109" s="116"/>
      <c r="BN109" s="116"/>
      <c r="BO109" s="116"/>
      <c r="BP109" s="116"/>
      <c r="BU109" s="116"/>
      <c r="BV109" s="116"/>
      <c r="BW109" s="116"/>
      <c r="BX109" s="116"/>
      <c r="BY109" s="117"/>
      <c r="BZ109" s="116"/>
      <c r="CA109" s="116"/>
      <c r="CC109" s="117"/>
      <c r="CF109" s="116"/>
      <c r="CG109" s="116"/>
      <c r="CH109" s="116"/>
      <c r="CI109" s="116"/>
    </row>
    <row r="110" spans="1:87" s="115" customFormat="1" ht="12.75" x14ac:dyDescent="0.2">
      <c r="D110" s="116"/>
      <c r="E110" s="120"/>
      <c r="F110" s="116"/>
      <c r="G110" s="116"/>
      <c r="J110" s="116"/>
      <c r="K110" s="116"/>
      <c r="T110" s="116"/>
      <c r="U110" s="116"/>
      <c r="V110" s="117"/>
      <c r="X110" s="116"/>
      <c r="Z110" s="116"/>
      <c r="AB110" s="116"/>
      <c r="AC110" s="116"/>
      <c r="AD110" s="116"/>
      <c r="AE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7"/>
      <c r="BG110" s="116"/>
      <c r="BI110" s="116"/>
      <c r="BJ110" s="116"/>
      <c r="BM110" s="116"/>
      <c r="BN110" s="116"/>
      <c r="BO110" s="116"/>
      <c r="BP110" s="116"/>
      <c r="BU110" s="116"/>
      <c r="BV110" s="116"/>
      <c r="BW110" s="116"/>
      <c r="BX110" s="116"/>
      <c r="BY110" s="117"/>
      <c r="BZ110" s="116"/>
      <c r="CA110" s="116"/>
      <c r="CC110" s="117"/>
      <c r="CF110" s="116"/>
      <c r="CG110" s="116"/>
      <c r="CH110" s="116"/>
      <c r="CI110" s="116"/>
    </row>
    <row r="111" spans="1:87" s="115" customFormat="1" ht="12.75" x14ac:dyDescent="0.2">
      <c r="D111" s="116"/>
      <c r="E111" s="116"/>
      <c r="F111" s="116"/>
      <c r="G111" s="124" t="s">
        <v>96</v>
      </c>
      <c r="H111" s="122"/>
      <c r="I111" s="122"/>
      <c r="J111" s="116"/>
      <c r="K111" s="116"/>
      <c r="T111" s="116"/>
      <c r="U111" s="116"/>
      <c r="V111" s="117"/>
      <c r="X111" s="116"/>
      <c r="Z111" s="116"/>
      <c r="AB111" s="116"/>
      <c r="AC111" s="116"/>
      <c r="AD111" s="116"/>
      <c r="AE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7"/>
      <c r="BG111" s="116"/>
      <c r="BI111" s="116"/>
      <c r="BJ111" s="116"/>
      <c r="BM111" s="116"/>
      <c r="BN111" s="116"/>
      <c r="BO111" s="116"/>
      <c r="BP111" s="116"/>
      <c r="BU111" s="116"/>
      <c r="BV111" s="116"/>
      <c r="BW111" s="116"/>
      <c r="BX111" s="116"/>
      <c r="BY111" s="117"/>
      <c r="BZ111" s="116"/>
      <c r="CA111" s="116"/>
      <c r="CC111" s="117"/>
      <c r="CF111" s="116"/>
      <c r="CG111" s="116"/>
      <c r="CH111" s="116"/>
      <c r="CI111" s="116"/>
    </row>
    <row r="112" spans="1:87" s="115" customFormat="1" ht="12.75" x14ac:dyDescent="0.2">
      <c r="D112" s="116"/>
      <c r="E112" s="116"/>
      <c r="F112" s="125"/>
      <c r="G112" s="116"/>
      <c r="H112" s="129" t="s">
        <v>94</v>
      </c>
      <c r="I112" s="129"/>
      <c r="J112" s="116"/>
      <c r="K112" s="116"/>
      <c r="T112" s="116"/>
      <c r="U112" s="116"/>
      <c r="V112" s="117"/>
      <c r="X112" s="116"/>
      <c r="Z112" s="116"/>
      <c r="AB112" s="116"/>
      <c r="AC112" s="116"/>
      <c r="AD112" s="116"/>
      <c r="AE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7"/>
      <c r="BG112" s="116"/>
      <c r="BI112" s="116"/>
      <c r="BJ112" s="116"/>
      <c r="BM112" s="116"/>
      <c r="BN112" s="116"/>
      <c r="BO112" s="116"/>
      <c r="BP112" s="116"/>
      <c r="BU112" s="116"/>
      <c r="BV112" s="116"/>
      <c r="BW112" s="116"/>
      <c r="BX112" s="116"/>
      <c r="BY112" s="117"/>
      <c r="BZ112" s="116"/>
      <c r="CA112" s="116"/>
      <c r="CC112" s="117"/>
      <c r="CF112" s="116"/>
      <c r="CG112" s="116"/>
      <c r="CH112" s="116"/>
      <c r="CI112" s="116"/>
    </row>
    <row r="113" spans="4:87" s="115" customFormat="1" ht="12.75" x14ac:dyDescent="0.2">
      <c r="D113" s="116"/>
      <c r="E113" s="116"/>
      <c r="F113" s="125"/>
      <c r="G113" s="116"/>
      <c r="J113" s="116"/>
      <c r="K113" s="116"/>
      <c r="T113" s="116"/>
      <c r="U113" s="116"/>
      <c r="V113" s="117"/>
      <c r="X113" s="116"/>
      <c r="Z113" s="116"/>
      <c r="AB113" s="116"/>
      <c r="AC113" s="116"/>
      <c r="AD113" s="116"/>
      <c r="AE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7"/>
      <c r="BG113" s="116"/>
      <c r="BI113" s="116"/>
      <c r="BJ113" s="116"/>
      <c r="BM113" s="116"/>
      <c r="BN113" s="116"/>
      <c r="BO113" s="116"/>
      <c r="BP113" s="116"/>
      <c r="BU113" s="116"/>
      <c r="BV113" s="116"/>
      <c r="BW113" s="116"/>
      <c r="BX113" s="116"/>
      <c r="BY113" s="117"/>
      <c r="BZ113" s="116"/>
      <c r="CA113" s="116"/>
      <c r="CC113" s="117"/>
      <c r="CF113" s="116"/>
      <c r="CG113" s="116"/>
      <c r="CH113" s="116"/>
      <c r="CI113" s="116"/>
    </row>
    <row r="114" spans="4:87" s="115" customFormat="1" ht="12.75" x14ac:dyDescent="0.2">
      <c r="D114" s="116"/>
      <c r="E114" s="116"/>
      <c r="F114" s="125"/>
      <c r="G114" s="116"/>
      <c r="J114" s="116"/>
      <c r="K114" s="116"/>
      <c r="T114" s="116"/>
      <c r="U114" s="116"/>
      <c r="V114" s="117"/>
      <c r="X114" s="116"/>
      <c r="Z114" s="116"/>
      <c r="AB114" s="116"/>
      <c r="AC114" s="116"/>
      <c r="AD114" s="116"/>
      <c r="AE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7"/>
      <c r="BG114" s="116"/>
      <c r="BI114" s="116"/>
      <c r="BJ114" s="116"/>
      <c r="BM114" s="116"/>
      <c r="BN114" s="116"/>
      <c r="BO114" s="116"/>
      <c r="BP114" s="116"/>
      <c r="BU114" s="116"/>
      <c r="BV114" s="116"/>
      <c r="BW114" s="116"/>
      <c r="BX114" s="116"/>
      <c r="BY114" s="117"/>
      <c r="BZ114" s="116"/>
      <c r="CA114" s="116"/>
      <c r="CC114" s="117"/>
      <c r="CF114" s="116"/>
      <c r="CG114" s="116"/>
      <c r="CH114" s="116"/>
      <c r="CI114" s="116"/>
    </row>
    <row r="115" spans="4:87" s="115" customFormat="1" x14ac:dyDescent="0.2">
      <c r="D115" s="116"/>
      <c r="E115" s="116"/>
      <c r="F115" s="126"/>
      <c r="G115" s="116"/>
      <c r="J115" s="116"/>
      <c r="K115" s="116"/>
      <c r="T115" s="116"/>
      <c r="U115" s="116"/>
      <c r="V115" s="117"/>
      <c r="X115" s="116"/>
      <c r="Z115" s="116"/>
      <c r="AB115" s="116"/>
      <c r="AC115" s="116"/>
      <c r="AD115" s="116"/>
      <c r="AE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7"/>
      <c r="BG115" s="116"/>
      <c r="BI115" s="116"/>
      <c r="BJ115" s="116"/>
      <c r="BM115" s="116"/>
      <c r="BN115" s="116"/>
      <c r="BO115" s="116"/>
      <c r="BP115" s="116"/>
      <c r="BU115" s="116"/>
      <c r="BV115" s="116"/>
      <c r="BW115" s="116"/>
      <c r="BX115" s="116"/>
      <c r="BY115" s="117"/>
      <c r="BZ115" s="116"/>
      <c r="CA115" s="116"/>
      <c r="CC115" s="117"/>
      <c r="CF115" s="116"/>
      <c r="CG115" s="116"/>
      <c r="CH115" s="116"/>
      <c r="CI115" s="116"/>
    </row>
    <row r="116" spans="4:87" s="115" customFormat="1" x14ac:dyDescent="0.2">
      <c r="D116" s="116"/>
      <c r="E116" s="120"/>
      <c r="F116" s="126"/>
      <c r="G116" s="116"/>
      <c r="H116" s="122"/>
      <c r="I116" s="122"/>
      <c r="J116" s="116"/>
      <c r="K116" s="116"/>
      <c r="T116" s="116"/>
      <c r="U116" s="116"/>
      <c r="V116" s="117"/>
      <c r="X116" s="116"/>
      <c r="Z116" s="116"/>
      <c r="AB116" s="116"/>
      <c r="AC116" s="116"/>
      <c r="AD116" s="116"/>
      <c r="AE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7"/>
      <c r="BG116" s="116"/>
      <c r="BI116" s="116"/>
      <c r="BJ116" s="116"/>
      <c r="BM116" s="116"/>
      <c r="BN116" s="116"/>
      <c r="BO116" s="116"/>
      <c r="BP116" s="116"/>
      <c r="BU116" s="116"/>
      <c r="BV116" s="116"/>
      <c r="BW116" s="116"/>
      <c r="BX116" s="116"/>
      <c r="BY116" s="117"/>
      <c r="BZ116" s="116"/>
      <c r="CA116" s="116"/>
      <c r="CC116" s="117"/>
      <c r="CF116" s="116"/>
      <c r="CG116" s="116"/>
      <c r="CH116" s="116"/>
      <c r="CI116" s="116"/>
    </row>
    <row r="117" spans="4:87" s="115" customFormat="1" x14ac:dyDescent="0.2">
      <c r="D117" s="116"/>
      <c r="E117" s="120"/>
      <c r="F117" s="126"/>
      <c r="G117" s="116"/>
      <c r="H117" s="129" t="s">
        <v>94</v>
      </c>
      <c r="I117" s="129"/>
      <c r="J117" s="116"/>
      <c r="K117" s="116"/>
      <c r="T117" s="116"/>
      <c r="U117" s="116"/>
      <c r="V117" s="117"/>
      <c r="X117" s="116"/>
      <c r="Z117" s="116"/>
      <c r="AB117" s="116"/>
      <c r="AC117" s="116"/>
      <c r="AD117" s="116"/>
      <c r="AE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7"/>
      <c r="BG117" s="116"/>
      <c r="BI117" s="116"/>
      <c r="BJ117" s="116"/>
      <c r="BM117" s="116"/>
      <c r="BN117" s="116"/>
      <c r="BO117" s="116"/>
      <c r="BP117" s="116"/>
      <c r="BU117" s="116"/>
      <c r="BV117" s="116"/>
      <c r="BW117" s="116"/>
      <c r="BX117" s="116"/>
      <c r="BY117" s="117"/>
      <c r="BZ117" s="116"/>
      <c r="CA117" s="116"/>
      <c r="CC117" s="117"/>
      <c r="CF117" s="116"/>
      <c r="CG117" s="116"/>
      <c r="CH117" s="116"/>
      <c r="CI117" s="116"/>
    </row>
    <row r="118" spans="4:87" s="115" customFormat="1" x14ac:dyDescent="0.2">
      <c r="D118" s="116"/>
      <c r="E118" s="120"/>
      <c r="F118" s="126"/>
      <c r="G118" s="116"/>
      <c r="J118" s="116"/>
      <c r="K118" s="116"/>
      <c r="T118" s="116"/>
      <c r="U118" s="116"/>
      <c r="V118" s="117"/>
      <c r="X118" s="116"/>
      <c r="Z118" s="116"/>
      <c r="AB118" s="116"/>
      <c r="AC118" s="116"/>
      <c r="AD118" s="116"/>
      <c r="AE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7"/>
      <c r="BG118" s="116"/>
      <c r="BI118" s="116"/>
      <c r="BJ118" s="116"/>
      <c r="BM118" s="116"/>
      <c r="BN118" s="116"/>
      <c r="BO118" s="116"/>
      <c r="BP118" s="116"/>
      <c r="BU118" s="116"/>
      <c r="BV118" s="116"/>
      <c r="BW118" s="116"/>
      <c r="BX118" s="116"/>
      <c r="BY118" s="117"/>
      <c r="BZ118" s="116"/>
      <c r="CA118" s="116"/>
      <c r="CC118" s="117"/>
      <c r="CF118" s="116"/>
      <c r="CG118" s="116"/>
      <c r="CH118" s="116"/>
      <c r="CI118" s="116"/>
    </row>
    <row r="119" spans="4:87" s="115" customFormat="1" ht="12.75" x14ac:dyDescent="0.2">
      <c r="D119" s="116"/>
      <c r="E119" s="120"/>
      <c r="F119" s="116"/>
      <c r="G119" s="116"/>
      <c r="J119" s="116"/>
      <c r="K119" s="116"/>
      <c r="T119" s="116"/>
      <c r="U119" s="116"/>
      <c r="V119" s="117"/>
      <c r="X119" s="116"/>
      <c r="Z119" s="116"/>
      <c r="AB119" s="116"/>
      <c r="AC119" s="116"/>
      <c r="AD119" s="116"/>
      <c r="AE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7"/>
      <c r="BG119" s="116"/>
      <c r="BI119" s="116"/>
      <c r="BJ119" s="116"/>
      <c r="BM119" s="116"/>
      <c r="BN119" s="116"/>
      <c r="BO119" s="116"/>
      <c r="BP119" s="116"/>
      <c r="BU119" s="116"/>
      <c r="BV119" s="116"/>
      <c r="BW119" s="116"/>
      <c r="BX119" s="116"/>
      <c r="BY119" s="117"/>
      <c r="BZ119" s="116"/>
      <c r="CA119" s="116"/>
      <c r="CC119" s="117"/>
      <c r="CF119" s="116"/>
      <c r="CG119" s="116"/>
      <c r="CH119" s="116"/>
      <c r="CI119" s="116"/>
    </row>
    <row r="120" spans="4:87" s="115" customFormat="1" ht="12.75" x14ac:dyDescent="0.2">
      <c r="D120" s="116"/>
      <c r="E120" s="120"/>
      <c r="F120" s="116"/>
      <c r="G120" s="116"/>
      <c r="J120" s="116"/>
      <c r="K120" s="116"/>
      <c r="T120" s="116"/>
      <c r="U120" s="116"/>
      <c r="V120" s="117"/>
      <c r="X120" s="116"/>
      <c r="Z120" s="116"/>
      <c r="AB120" s="116"/>
      <c r="AC120" s="116"/>
      <c r="AD120" s="116"/>
      <c r="AE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7"/>
      <c r="BG120" s="116"/>
      <c r="BI120" s="116"/>
      <c r="BJ120" s="116"/>
      <c r="BM120" s="116"/>
      <c r="BN120" s="116"/>
      <c r="BO120" s="116"/>
      <c r="BP120" s="116"/>
      <c r="BU120" s="116"/>
      <c r="BV120" s="116"/>
      <c r="BW120" s="116"/>
      <c r="BX120" s="116"/>
      <c r="BY120" s="117"/>
      <c r="BZ120" s="116"/>
      <c r="CA120" s="116"/>
      <c r="CC120" s="117"/>
      <c r="CF120" s="116"/>
      <c r="CG120" s="116"/>
      <c r="CH120" s="116"/>
      <c r="CI120" s="116"/>
    </row>
    <row r="121" spans="4:87" s="115" customFormat="1" ht="12.75" x14ac:dyDescent="0.2">
      <c r="D121" s="116"/>
      <c r="E121" s="120"/>
      <c r="F121" s="116"/>
      <c r="G121" s="116"/>
      <c r="H121" s="122"/>
      <c r="I121" s="122"/>
      <c r="J121" s="116"/>
      <c r="K121" s="116"/>
      <c r="T121" s="116"/>
      <c r="U121" s="116"/>
      <c r="V121" s="117"/>
      <c r="X121" s="116"/>
      <c r="Z121" s="116"/>
      <c r="AB121" s="116"/>
      <c r="AC121" s="116"/>
      <c r="AD121" s="116"/>
      <c r="AE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7"/>
      <c r="BG121" s="116"/>
      <c r="BI121" s="116"/>
      <c r="BJ121" s="116"/>
      <c r="BM121" s="116"/>
      <c r="BN121" s="116"/>
      <c r="BO121" s="116"/>
      <c r="BP121" s="116"/>
      <c r="BU121" s="116"/>
      <c r="BV121" s="116"/>
      <c r="BW121" s="116"/>
      <c r="BX121" s="116"/>
      <c r="BY121" s="117"/>
      <c r="BZ121" s="116"/>
      <c r="CA121" s="116"/>
      <c r="CC121" s="117"/>
      <c r="CF121" s="116"/>
      <c r="CG121" s="116"/>
      <c r="CH121" s="116"/>
      <c r="CI121" s="116"/>
    </row>
    <row r="122" spans="4:87" s="115" customFormat="1" ht="12.75" x14ac:dyDescent="0.2">
      <c r="D122" s="116"/>
      <c r="E122" s="120"/>
      <c r="F122" s="116"/>
      <c r="G122" s="116"/>
      <c r="H122" s="129" t="s">
        <v>94</v>
      </c>
      <c r="I122" s="129"/>
      <c r="J122" s="116"/>
      <c r="K122" s="116"/>
      <c r="T122" s="116"/>
      <c r="U122" s="116"/>
      <c r="V122" s="117"/>
      <c r="X122" s="116"/>
      <c r="Z122" s="116"/>
      <c r="AB122" s="116"/>
      <c r="AC122" s="116"/>
      <c r="AD122" s="116"/>
      <c r="AE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7"/>
      <c r="BG122" s="116"/>
      <c r="BI122" s="116"/>
      <c r="BJ122" s="116"/>
      <c r="BM122" s="116"/>
      <c r="BN122" s="116"/>
      <c r="BO122" s="116"/>
      <c r="BP122" s="116"/>
      <c r="BU122" s="116"/>
      <c r="BV122" s="116"/>
      <c r="BW122" s="116"/>
      <c r="BX122" s="116"/>
      <c r="BY122" s="117"/>
      <c r="BZ122" s="116"/>
      <c r="CA122" s="116"/>
      <c r="CC122" s="117"/>
      <c r="CF122" s="116"/>
      <c r="CG122" s="116"/>
      <c r="CH122" s="116"/>
      <c r="CI122" s="116"/>
    </row>
    <row r="123" spans="4:87" s="115" customFormat="1" ht="12.75" x14ac:dyDescent="0.2">
      <c r="D123" s="116"/>
      <c r="E123" s="120"/>
      <c r="F123" s="116"/>
      <c r="G123" s="116"/>
      <c r="J123" s="116"/>
      <c r="K123" s="116"/>
      <c r="T123" s="116"/>
      <c r="U123" s="116"/>
      <c r="V123" s="117"/>
      <c r="X123" s="116"/>
      <c r="Z123" s="116"/>
      <c r="AB123" s="116"/>
      <c r="AC123" s="116"/>
      <c r="AD123" s="116"/>
      <c r="AE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7"/>
      <c r="BG123" s="116"/>
      <c r="BI123" s="116"/>
      <c r="BJ123" s="116"/>
      <c r="BM123" s="116"/>
      <c r="BN123" s="116"/>
      <c r="BO123" s="116"/>
      <c r="BP123" s="116"/>
      <c r="BU123" s="116"/>
      <c r="BV123" s="116"/>
      <c r="BW123" s="116"/>
      <c r="BX123" s="116"/>
      <c r="BY123" s="117"/>
      <c r="BZ123" s="116"/>
      <c r="CA123" s="116"/>
      <c r="CC123" s="117"/>
      <c r="CF123" s="116"/>
      <c r="CG123" s="116"/>
      <c r="CH123" s="116"/>
      <c r="CI123" s="116"/>
    </row>
    <row r="124" spans="4:87" s="115" customFormat="1" ht="12.75" x14ac:dyDescent="0.2">
      <c r="D124" s="116"/>
      <c r="E124" s="120"/>
      <c r="F124" s="116"/>
      <c r="G124" s="116"/>
      <c r="J124" s="116"/>
      <c r="K124" s="116"/>
      <c r="T124" s="116"/>
      <c r="U124" s="116"/>
      <c r="V124" s="117"/>
      <c r="X124" s="116"/>
      <c r="Z124" s="116"/>
      <c r="AB124" s="116"/>
      <c r="AC124" s="116"/>
      <c r="AD124" s="116"/>
      <c r="AE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7"/>
      <c r="BG124" s="116"/>
      <c r="BI124" s="116"/>
      <c r="BJ124" s="116"/>
      <c r="BM124" s="116"/>
      <c r="BN124" s="116"/>
      <c r="BO124" s="116"/>
      <c r="BP124" s="116"/>
      <c r="BU124" s="116"/>
      <c r="BV124" s="116"/>
      <c r="BW124" s="116"/>
      <c r="BX124" s="116"/>
      <c r="BY124" s="117"/>
      <c r="BZ124" s="116"/>
      <c r="CA124" s="116"/>
      <c r="CC124" s="117"/>
      <c r="CF124" s="116"/>
      <c r="CG124" s="116"/>
      <c r="CH124" s="116"/>
      <c r="CI124" s="116"/>
    </row>
    <row r="125" spans="4:87" s="115" customFormat="1" ht="12.75" x14ac:dyDescent="0.2">
      <c r="D125" s="116"/>
      <c r="E125" s="120"/>
      <c r="F125" s="116"/>
      <c r="G125" s="116"/>
      <c r="J125" s="116"/>
      <c r="K125" s="116"/>
      <c r="T125" s="116"/>
      <c r="U125" s="116"/>
      <c r="V125" s="117"/>
      <c r="X125" s="116"/>
      <c r="Z125" s="116"/>
      <c r="AB125" s="116"/>
      <c r="AC125" s="116"/>
      <c r="AD125" s="116"/>
      <c r="AE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7"/>
      <c r="BG125" s="116"/>
      <c r="BI125" s="116"/>
      <c r="BJ125" s="116"/>
      <c r="BM125" s="116"/>
      <c r="BN125" s="116"/>
      <c r="BO125" s="116"/>
      <c r="BP125" s="116"/>
      <c r="BU125" s="116"/>
      <c r="BV125" s="116"/>
      <c r="BW125" s="116"/>
      <c r="BX125" s="116"/>
      <c r="BY125" s="117"/>
      <c r="BZ125" s="116"/>
      <c r="CA125" s="116"/>
      <c r="CC125" s="117"/>
      <c r="CF125" s="116"/>
      <c r="CG125" s="116"/>
      <c r="CH125" s="116"/>
      <c r="CI125" s="116"/>
    </row>
    <row r="126" spans="4:87" s="115" customFormat="1" ht="12.75" x14ac:dyDescent="0.2">
      <c r="D126" s="116"/>
      <c r="E126" s="120"/>
      <c r="F126" s="116"/>
      <c r="G126" s="116"/>
      <c r="H126" s="122"/>
      <c r="I126" s="122"/>
      <c r="J126" s="116"/>
      <c r="K126" s="116"/>
      <c r="T126" s="116"/>
      <c r="U126" s="116"/>
      <c r="V126" s="117"/>
      <c r="X126" s="116"/>
      <c r="Z126" s="116"/>
      <c r="AB126" s="116"/>
      <c r="AC126" s="116"/>
      <c r="AD126" s="116"/>
      <c r="AE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7"/>
      <c r="BG126" s="116"/>
      <c r="BI126" s="116"/>
      <c r="BJ126" s="116"/>
      <c r="BM126" s="116"/>
      <c r="BN126" s="116"/>
      <c r="BO126" s="116"/>
      <c r="BP126" s="116"/>
      <c r="BU126" s="116"/>
      <c r="BV126" s="116"/>
      <c r="BW126" s="116"/>
      <c r="BX126" s="116"/>
      <c r="BY126" s="117"/>
      <c r="BZ126" s="116"/>
      <c r="CA126" s="116"/>
      <c r="CC126" s="117"/>
      <c r="CF126" s="116"/>
      <c r="CG126" s="116"/>
      <c r="CH126" s="116"/>
      <c r="CI126" s="116"/>
    </row>
    <row r="127" spans="4:87" s="115" customFormat="1" ht="12.75" x14ac:dyDescent="0.2">
      <c r="D127" s="116"/>
      <c r="E127" s="120"/>
      <c r="F127" s="116"/>
      <c r="G127" s="116"/>
      <c r="H127" s="129" t="s">
        <v>94</v>
      </c>
      <c r="I127" s="129"/>
      <c r="J127" s="116"/>
      <c r="K127" s="116"/>
      <c r="T127" s="116"/>
      <c r="U127" s="116"/>
      <c r="V127" s="117"/>
      <c r="X127" s="116"/>
      <c r="Z127" s="116"/>
      <c r="AB127" s="116"/>
      <c r="AC127" s="116"/>
      <c r="AD127" s="116"/>
      <c r="AE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7"/>
      <c r="BG127" s="116"/>
      <c r="BI127" s="116"/>
      <c r="BJ127" s="116"/>
      <c r="BM127" s="116"/>
      <c r="BN127" s="116"/>
      <c r="BO127" s="116"/>
      <c r="BP127" s="116"/>
      <c r="BU127" s="116"/>
      <c r="BV127" s="116"/>
      <c r="BW127" s="116"/>
      <c r="BX127" s="116"/>
      <c r="BY127" s="117"/>
      <c r="BZ127" s="116"/>
      <c r="CA127" s="116"/>
      <c r="CC127" s="117"/>
      <c r="CF127" s="116"/>
      <c r="CG127" s="116"/>
      <c r="CH127" s="116"/>
      <c r="CI127" s="116"/>
    </row>
    <row r="128" spans="4:87" x14ac:dyDescent="0.25">
      <c r="E128" s="107"/>
      <c r="F128" s="107"/>
      <c r="H128" s="47"/>
      <c r="I128" s="5"/>
    </row>
    <row r="129" spans="5:9" x14ac:dyDescent="0.25">
      <c r="E129" s="107"/>
      <c r="F129" s="107"/>
      <c r="H129" s="47"/>
      <c r="I129" s="5"/>
    </row>
  </sheetData>
  <sheetProtection password="CF44" sheet="1" formatColumns="0" formatRows="0" autoFilter="0"/>
  <autoFilter ref="A16:DU53"/>
  <mergeCells count="75">
    <mergeCell ref="F14:G14"/>
    <mergeCell ref="A14:A15"/>
    <mergeCell ref="B14:B15"/>
    <mergeCell ref="C14:C15"/>
    <mergeCell ref="D14:D15"/>
    <mergeCell ref="E14:E15"/>
    <mergeCell ref="AD14:AD15"/>
    <mergeCell ref="H14:I14"/>
    <mergeCell ref="J14:K14"/>
    <mergeCell ref="L14:M14"/>
    <mergeCell ref="N14:O14"/>
    <mergeCell ref="P14:Q14"/>
    <mergeCell ref="R14:S14"/>
    <mergeCell ref="V14:V15"/>
    <mergeCell ref="W14:Z14"/>
    <mergeCell ref="AA14:AA15"/>
    <mergeCell ref="AB14:AB15"/>
    <mergeCell ref="AC14:AC15"/>
    <mergeCell ref="BI14:BJ14"/>
    <mergeCell ref="AE14:AE15"/>
    <mergeCell ref="AF14:AF15"/>
    <mergeCell ref="AG14:AG15"/>
    <mergeCell ref="AT14:AT15"/>
    <mergeCell ref="AU14:AU15"/>
    <mergeCell ref="BB14:BC14"/>
    <mergeCell ref="BD14:BD15"/>
    <mergeCell ref="BE14:BE15"/>
    <mergeCell ref="BF14:BF15"/>
    <mergeCell ref="BG14:BG15"/>
    <mergeCell ref="BH14:BH15"/>
    <mergeCell ref="CK14:CK15"/>
    <mergeCell ref="BK14:BL14"/>
    <mergeCell ref="BM14:BP14"/>
    <mergeCell ref="BQ14:BT14"/>
    <mergeCell ref="BU14:BX14"/>
    <mergeCell ref="BY14:BY15"/>
    <mergeCell ref="BZ14:CA14"/>
    <mergeCell ref="CB14:CB15"/>
    <mergeCell ref="CC14:CC15"/>
    <mergeCell ref="CD14:CE14"/>
    <mergeCell ref="CF14:CI14"/>
    <mergeCell ref="CJ14:CJ15"/>
    <mergeCell ref="DD14:DD15"/>
    <mergeCell ref="CL14:CL15"/>
    <mergeCell ref="CS14:CS15"/>
    <mergeCell ref="CU14:CU15"/>
    <mergeCell ref="CV14:CV15"/>
    <mergeCell ref="CW14:CW15"/>
    <mergeCell ref="CX14:CX15"/>
    <mergeCell ref="CY14:CY15"/>
    <mergeCell ref="CZ14:CZ15"/>
    <mergeCell ref="DA14:DA15"/>
    <mergeCell ref="DB14:DB15"/>
    <mergeCell ref="DC14:DC15"/>
    <mergeCell ref="DF14:DF15"/>
    <mergeCell ref="DG14:DG15"/>
    <mergeCell ref="DH14:DH15"/>
    <mergeCell ref="DI14:DJ14"/>
    <mergeCell ref="DK14:DL14"/>
    <mergeCell ref="H117:I117"/>
    <mergeCell ref="H122:I122"/>
    <mergeCell ref="H127:I127"/>
    <mergeCell ref="DT14:DT15"/>
    <mergeCell ref="DU14:DU15"/>
    <mergeCell ref="AW15:AZ15"/>
    <mergeCell ref="H102:I102"/>
    <mergeCell ref="H107:I107"/>
    <mergeCell ref="H112:I112"/>
    <mergeCell ref="DM14:DN14"/>
    <mergeCell ref="DO14:DO15"/>
    <mergeCell ref="DP14:DP15"/>
    <mergeCell ref="DQ14:DQ15"/>
    <mergeCell ref="DR14:DR15"/>
    <mergeCell ref="DS14:DS15"/>
    <mergeCell ref="DE14:DE15"/>
  </mergeCells>
  <conditionalFormatting sqref="BN6">
    <cfRule type="cellIs" dxfId="133" priority="131" stopIfTrue="1" operator="notEqual">
      <formula>0</formula>
    </cfRule>
  </conditionalFormatting>
  <conditionalFormatting sqref="BN7:BN8">
    <cfRule type="cellIs" dxfId="132" priority="130" stopIfTrue="1" operator="notEqual">
      <formula>0</formula>
    </cfRule>
  </conditionalFormatting>
  <conditionalFormatting sqref="BN7:BN8">
    <cfRule type="cellIs" dxfId="131" priority="129" stopIfTrue="1" operator="notEqual">
      <formula>0</formula>
    </cfRule>
  </conditionalFormatting>
  <conditionalFormatting sqref="CG10 CI10">
    <cfRule type="cellIs" dxfId="130" priority="128" stopIfTrue="1" operator="notEqual">
      <formula>0</formula>
    </cfRule>
  </conditionalFormatting>
  <conditionalFormatting sqref="CG10">
    <cfRule type="cellIs" dxfId="129" priority="127" stopIfTrue="1" operator="notEqual">
      <formula>0</formula>
    </cfRule>
  </conditionalFormatting>
  <conditionalFormatting sqref="CI10">
    <cfRule type="cellIs" dxfId="128" priority="126" stopIfTrue="1" operator="notEqual">
      <formula>0</formula>
    </cfRule>
  </conditionalFormatting>
  <conditionalFormatting sqref="CI13">
    <cfRule type="cellIs" dxfId="127" priority="125" stopIfTrue="1" operator="notEqual">
      <formula>0</formula>
    </cfRule>
  </conditionalFormatting>
  <conditionalFormatting sqref="CG13">
    <cfRule type="cellIs" dxfId="126" priority="124" stopIfTrue="1" operator="notEqual">
      <formula>0</formula>
    </cfRule>
  </conditionalFormatting>
  <conditionalFormatting sqref="AW17:AW53 BD13:BE13 BH13">
    <cfRule type="cellIs" dxfId="125" priority="123" stopIfTrue="1" operator="equal">
      <formula>0</formula>
    </cfRule>
  </conditionalFormatting>
  <conditionalFormatting sqref="AW17:AW53 BD13:BE13 BH13">
    <cfRule type="cellIs" dxfId="124" priority="122" stopIfTrue="1" operator="notEqual">
      <formula>0</formula>
    </cfRule>
  </conditionalFormatting>
  <conditionalFormatting sqref="AY17:AZ53">
    <cfRule type="cellIs" dxfId="123" priority="121" stopIfTrue="1" operator="equal">
      <formula>0</formula>
    </cfRule>
  </conditionalFormatting>
  <conditionalFormatting sqref="AY17:AZ53">
    <cfRule type="cellIs" dxfId="122" priority="120" stopIfTrue="1" operator="notEqual">
      <formula>0</formula>
    </cfRule>
  </conditionalFormatting>
  <conditionalFormatting sqref="AY17:AZ53">
    <cfRule type="cellIs" dxfId="121" priority="119" stopIfTrue="1" operator="equal">
      <formula>0</formula>
    </cfRule>
  </conditionalFormatting>
  <conditionalFormatting sqref="AY17:AZ53">
    <cfRule type="cellIs" dxfId="120" priority="118" stopIfTrue="1" operator="notEqual">
      <formula>0</formula>
    </cfRule>
  </conditionalFormatting>
  <conditionalFormatting sqref="AX17:AX53">
    <cfRule type="cellIs" dxfId="119" priority="117" stopIfTrue="1" operator="equal">
      <formula>0</formula>
    </cfRule>
  </conditionalFormatting>
  <conditionalFormatting sqref="AX17:AX53">
    <cfRule type="cellIs" dxfId="118" priority="116" stopIfTrue="1" operator="notEqual">
      <formula>0</formula>
    </cfRule>
  </conditionalFormatting>
  <conditionalFormatting sqref="AX17:AX53">
    <cfRule type="cellIs" dxfId="117" priority="115" stopIfTrue="1" operator="equal">
      <formula>0</formula>
    </cfRule>
  </conditionalFormatting>
  <conditionalFormatting sqref="AX17:AX53">
    <cfRule type="cellIs" dxfId="116" priority="114" stopIfTrue="1" operator="notEqual">
      <formula>0</formula>
    </cfRule>
  </conditionalFormatting>
  <conditionalFormatting sqref="CH11 W11 U11 BB11:BC11 F11:L11 Y11 CD11:CF11 BO11 BI11:BM11">
    <cfRule type="expression" dxfId="115" priority="132" stopIfTrue="1">
      <formula>F$11=F$13</formula>
    </cfRule>
  </conditionalFormatting>
  <conditionalFormatting sqref="A11">
    <cfRule type="expression" dxfId="114" priority="133" stopIfTrue="1">
      <formula>SUM($H$11:$K$11)=SUM($H$13:$K$13)</formula>
    </cfRule>
  </conditionalFormatting>
  <conditionalFormatting sqref="CH11 BB11:BC11 CD11:CF11 BO11 BI11:BM11">
    <cfRule type="expression" dxfId="113" priority="134" stopIfTrue="1">
      <formula>BB$11=BB$13</formula>
    </cfRule>
  </conditionalFormatting>
  <conditionalFormatting sqref="AZ13">
    <cfRule type="cellIs" dxfId="112" priority="113" stopIfTrue="1" operator="equal">
      <formula>0</formula>
    </cfRule>
  </conditionalFormatting>
  <conditionalFormatting sqref="AZ13">
    <cfRule type="cellIs" dxfId="111" priority="112" stopIfTrue="1" operator="notEqual">
      <formula>0</formula>
    </cfRule>
  </conditionalFormatting>
  <conditionalFormatting sqref="AZ13">
    <cfRule type="cellIs" dxfId="110" priority="111" stopIfTrue="1" operator="equal">
      <formula>0</formula>
    </cfRule>
  </conditionalFormatting>
  <conditionalFormatting sqref="AZ13">
    <cfRule type="cellIs" dxfId="109" priority="110" stopIfTrue="1" operator="notEqual">
      <formula>0</formula>
    </cfRule>
  </conditionalFormatting>
  <conditionalFormatting sqref="AW13:AY13">
    <cfRule type="cellIs" dxfId="108" priority="109" stopIfTrue="1" operator="equal">
      <formula>0</formula>
    </cfRule>
  </conditionalFormatting>
  <conditionalFormatting sqref="AW13:AY13">
    <cfRule type="cellIs" dxfId="107" priority="108" stopIfTrue="1" operator="notEqual">
      <formula>0</formula>
    </cfRule>
  </conditionalFormatting>
  <conditionalFormatting sqref="AW13:AY13">
    <cfRule type="cellIs" dxfId="106" priority="107" stopIfTrue="1" operator="equal">
      <formula>0</formula>
    </cfRule>
  </conditionalFormatting>
  <conditionalFormatting sqref="AW13:AY13">
    <cfRule type="cellIs" dxfId="105" priority="106" stopIfTrue="1" operator="notEqual">
      <formula>0</formula>
    </cfRule>
  </conditionalFormatting>
  <conditionalFormatting sqref="M11:T11">
    <cfRule type="expression" dxfId="104" priority="105" stopIfTrue="1">
      <formula>M$11=M$13</formula>
    </cfRule>
  </conditionalFormatting>
  <conditionalFormatting sqref="AG13:AU13">
    <cfRule type="cellIs" dxfId="103" priority="101" stopIfTrue="1" operator="notEqual">
      <formula>0</formula>
    </cfRule>
  </conditionalFormatting>
  <conditionalFormatting sqref="AG13:AU13">
    <cfRule type="cellIs" dxfId="102" priority="104" stopIfTrue="1" operator="equal">
      <formula>0</formula>
    </cfRule>
  </conditionalFormatting>
  <conditionalFormatting sqref="AG13:AU13">
    <cfRule type="cellIs" dxfId="101" priority="103" stopIfTrue="1" operator="notEqual">
      <formula>0</formula>
    </cfRule>
  </conditionalFormatting>
  <conditionalFormatting sqref="AG13:AU13">
    <cfRule type="cellIs" dxfId="100" priority="102" stopIfTrue="1" operator="equal">
      <formula>0</formula>
    </cfRule>
  </conditionalFormatting>
  <conditionalFormatting sqref="DD5:DL5 CU1:DV2">
    <cfRule type="expression" dxfId="99" priority="99" stopIfTrue="1">
      <formula>CU$5=CU$13</formula>
    </cfRule>
  </conditionalFormatting>
  <conditionalFormatting sqref="DI11:DN11">
    <cfRule type="expression" dxfId="98" priority="100" stopIfTrue="1">
      <formula>DI$11=DI$13</formula>
    </cfRule>
  </conditionalFormatting>
  <conditionalFormatting sqref="X17:X53">
    <cfRule type="cellIs" dxfId="97" priority="98" stopIfTrue="1" operator="equal">
      <formula>0</formula>
    </cfRule>
  </conditionalFormatting>
  <conditionalFormatting sqref="X17:X53">
    <cfRule type="cellIs" dxfId="96" priority="97" stopIfTrue="1" operator="notEqual">
      <formula>0</formula>
    </cfRule>
  </conditionalFormatting>
  <conditionalFormatting sqref="X17:X53">
    <cfRule type="cellIs" dxfId="95" priority="96" stopIfTrue="1" operator="equal">
      <formula>0</formula>
    </cfRule>
  </conditionalFormatting>
  <conditionalFormatting sqref="X17:X53">
    <cfRule type="cellIs" dxfId="94" priority="95" stopIfTrue="1" operator="notEqual">
      <formula>0</formula>
    </cfRule>
  </conditionalFormatting>
  <conditionalFormatting sqref="X11">
    <cfRule type="expression" dxfId="93" priority="93" stopIfTrue="1">
      <formula>X$11=X$13</formula>
    </cfRule>
  </conditionalFormatting>
  <conditionalFormatting sqref="X11">
    <cfRule type="expression" dxfId="92" priority="94" stopIfTrue="1">
      <formula>X$11=X$13</formula>
    </cfRule>
  </conditionalFormatting>
  <conditionalFormatting sqref="X13">
    <cfRule type="cellIs" dxfId="91" priority="92" stopIfTrue="1" operator="equal">
      <formula>0</formula>
    </cfRule>
  </conditionalFormatting>
  <conditionalFormatting sqref="X13">
    <cfRule type="cellIs" dxfId="90" priority="91" stopIfTrue="1" operator="notEqual">
      <formula>0</formula>
    </cfRule>
  </conditionalFormatting>
  <conditionalFormatting sqref="X13">
    <cfRule type="cellIs" dxfId="89" priority="90" stopIfTrue="1" operator="equal">
      <formula>0</formula>
    </cfRule>
  </conditionalFormatting>
  <conditionalFormatting sqref="X13">
    <cfRule type="cellIs" dxfId="88" priority="89" stopIfTrue="1" operator="notEqual">
      <formula>0</formula>
    </cfRule>
  </conditionalFormatting>
  <conditionalFormatting sqref="Z11">
    <cfRule type="expression" dxfId="87" priority="87" stopIfTrue="1">
      <formula>Z$11=Z$13</formula>
    </cfRule>
  </conditionalFormatting>
  <conditionalFormatting sqref="Z11">
    <cfRule type="expression" dxfId="86" priority="88" stopIfTrue="1">
      <formula>Z$11=Z$13</formula>
    </cfRule>
  </conditionalFormatting>
  <conditionalFormatting sqref="Z13">
    <cfRule type="cellIs" dxfId="85" priority="86" stopIfTrue="1" operator="equal">
      <formula>0</formula>
    </cfRule>
  </conditionalFormatting>
  <conditionalFormatting sqref="Z13">
    <cfRule type="cellIs" dxfId="84" priority="85" stopIfTrue="1" operator="notEqual">
      <formula>0</formula>
    </cfRule>
  </conditionalFormatting>
  <conditionalFormatting sqref="Z13">
    <cfRule type="cellIs" dxfId="83" priority="84" stopIfTrue="1" operator="equal">
      <formula>0</formula>
    </cfRule>
  </conditionalFormatting>
  <conditionalFormatting sqref="Z13">
    <cfRule type="cellIs" dxfId="82" priority="83" stopIfTrue="1" operator="notEqual">
      <formula>0</formula>
    </cfRule>
  </conditionalFormatting>
  <conditionalFormatting sqref="Z17 Z19:Z53">
    <cfRule type="cellIs" dxfId="81" priority="82" stopIfTrue="1" operator="equal">
      <formula>0</formula>
    </cfRule>
  </conditionalFormatting>
  <conditionalFormatting sqref="Z17 Z19:Z53">
    <cfRule type="cellIs" dxfId="80" priority="81" stopIfTrue="1" operator="notEqual">
      <formula>0</formula>
    </cfRule>
  </conditionalFormatting>
  <conditionalFormatting sqref="Z17 Z19:Z53">
    <cfRule type="cellIs" dxfId="79" priority="80" stopIfTrue="1" operator="equal">
      <formula>0</formula>
    </cfRule>
  </conditionalFormatting>
  <conditionalFormatting sqref="Z17 Z19:Z53">
    <cfRule type="cellIs" dxfId="78" priority="79" stopIfTrue="1" operator="notEqual">
      <formula>0</formula>
    </cfRule>
  </conditionalFormatting>
  <conditionalFormatting sqref="Z17:Z53">
    <cfRule type="cellIs" dxfId="77" priority="78" stopIfTrue="1" operator="equal">
      <formula>0</formula>
    </cfRule>
  </conditionalFormatting>
  <conditionalFormatting sqref="Z17:Z53">
    <cfRule type="cellIs" dxfId="76" priority="77" stopIfTrue="1" operator="notEqual">
      <formula>0</formula>
    </cfRule>
  </conditionalFormatting>
  <conditionalFormatting sqref="Z17:Z53">
    <cfRule type="cellIs" dxfId="75" priority="76" stopIfTrue="1" operator="equal">
      <formula>0</formula>
    </cfRule>
  </conditionalFormatting>
  <conditionalFormatting sqref="Z17:Z53">
    <cfRule type="cellIs" dxfId="74" priority="75" stopIfTrue="1" operator="notEqual">
      <formula>0</formula>
    </cfRule>
  </conditionalFormatting>
  <conditionalFormatting sqref="CB13">
    <cfRule type="cellIs" dxfId="73" priority="74" stopIfTrue="1" operator="equal">
      <formula>0</formula>
    </cfRule>
  </conditionalFormatting>
  <conditionalFormatting sqref="CB13">
    <cfRule type="cellIs" dxfId="72" priority="73" stopIfTrue="1" operator="notEqual">
      <formula>0</formula>
    </cfRule>
  </conditionalFormatting>
  <conditionalFormatting sqref="BV17:BV53 BX17:BY53">
    <cfRule type="cellIs" dxfId="71" priority="70" stopIfTrue="1" operator="equal">
      <formula>"ок!"</formula>
    </cfRule>
    <cfRule type="cellIs" dxfId="70" priority="71" stopIfTrue="1" operator="equal">
      <formula>0</formula>
    </cfRule>
    <cfRule type="cellIs" dxfId="69" priority="72" stopIfTrue="1" operator="notEqual">
      <formula>"ОК!"</formula>
    </cfRule>
  </conditionalFormatting>
  <conditionalFormatting sqref="BP7:BP9">
    <cfRule type="cellIs" dxfId="68" priority="68" stopIfTrue="1" operator="notEqual">
      <formula>0</formula>
    </cfRule>
  </conditionalFormatting>
  <conditionalFormatting sqref="BP7:BP9">
    <cfRule type="cellIs" dxfId="67" priority="67" stopIfTrue="1" operator="notEqual">
      <formula>0</formula>
    </cfRule>
  </conditionalFormatting>
  <conditionalFormatting sqref="BN9">
    <cfRule type="cellIs" dxfId="66" priority="66" stopIfTrue="1" operator="notEqual">
      <formula>0</formula>
    </cfRule>
  </conditionalFormatting>
  <conditionalFormatting sqref="BP6">
    <cfRule type="cellIs" dxfId="65" priority="69" stopIfTrue="1" operator="notEqual">
      <formula>0</formula>
    </cfRule>
  </conditionalFormatting>
  <conditionalFormatting sqref="AW11:AZ11">
    <cfRule type="expression" dxfId="64" priority="64" stopIfTrue="1">
      <formula>AW$11=AW$13</formula>
    </cfRule>
  </conditionalFormatting>
  <conditionalFormatting sqref="AW11:AZ11">
    <cfRule type="expression" dxfId="63" priority="65" stopIfTrue="1">
      <formula>AW$11=AW$13</formula>
    </cfRule>
  </conditionalFormatting>
  <conditionalFormatting sqref="CB11">
    <cfRule type="expression" dxfId="62" priority="60" stopIfTrue="1">
      <formula>CB$11=CB$13</formula>
    </cfRule>
  </conditionalFormatting>
  <conditionalFormatting sqref="CB11">
    <cfRule type="expression" dxfId="61" priority="61" stopIfTrue="1">
      <formula>CB$11=CB$13</formula>
    </cfRule>
  </conditionalFormatting>
  <conditionalFormatting sqref="BH11">
    <cfRule type="expression" dxfId="60" priority="62" stopIfTrue="1">
      <formula>BH$11=BH$13</formula>
    </cfRule>
  </conditionalFormatting>
  <conditionalFormatting sqref="BH11">
    <cfRule type="expression" dxfId="59" priority="63" stopIfTrue="1">
      <formula>BH$11=BH$13</formula>
    </cfRule>
  </conditionalFormatting>
  <conditionalFormatting sqref="CI6">
    <cfRule type="cellIs" dxfId="58" priority="56" stopIfTrue="1" operator="notEqual">
      <formula>0</formula>
    </cfRule>
  </conditionalFormatting>
  <conditionalFormatting sqref="CI7:CI9">
    <cfRule type="cellIs" dxfId="57" priority="55" stopIfTrue="1" operator="notEqual">
      <formula>0</formula>
    </cfRule>
  </conditionalFormatting>
  <conditionalFormatting sqref="CI7:CI9">
    <cfRule type="cellIs" dxfId="56" priority="54" stopIfTrue="1" operator="notEqual">
      <formula>0</formula>
    </cfRule>
  </conditionalFormatting>
  <conditionalFormatting sqref="CG9">
    <cfRule type="cellIs" dxfId="55" priority="53" stopIfTrue="1" operator="notEqual">
      <formula>0</formula>
    </cfRule>
  </conditionalFormatting>
  <conditionalFormatting sqref="BV9">
    <cfRule type="cellIs" dxfId="54" priority="46" stopIfTrue="1" operator="notEqual">
      <formula>0</formula>
    </cfRule>
  </conditionalFormatting>
  <conditionalFormatting sqref="CG6">
    <cfRule type="cellIs" dxfId="53" priority="59" stopIfTrue="1" operator="notEqual">
      <formula>0</formula>
    </cfRule>
  </conditionalFormatting>
  <conditionalFormatting sqref="CG7:CG8">
    <cfRule type="cellIs" dxfId="52" priority="58" stopIfTrue="1" operator="notEqual">
      <formula>0</formula>
    </cfRule>
  </conditionalFormatting>
  <conditionalFormatting sqref="CG7:CG8">
    <cfRule type="cellIs" dxfId="51" priority="57" stopIfTrue="1" operator="notEqual">
      <formula>0</formula>
    </cfRule>
  </conditionalFormatting>
  <conditionalFormatting sqref="BY6">
    <cfRule type="cellIs" dxfId="50" priority="49" stopIfTrue="1" operator="notEqual">
      <formula>0</formula>
    </cfRule>
  </conditionalFormatting>
  <conditionalFormatting sqref="BX7:BY9">
    <cfRule type="cellIs" dxfId="49" priority="48" stopIfTrue="1" operator="notEqual">
      <formula>0</formula>
    </cfRule>
  </conditionalFormatting>
  <conditionalFormatting sqref="BX7:BY9">
    <cfRule type="cellIs" dxfId="48" priority="47" stopIfTrue="1" operator="notEqual">
      <formula>0</formula>
    </cfRule>
  </conditionalFormatting>
  <conditionalFormatting sqref="BV6">
    <cfRule type="cellIs" dxfId="47" priority="52" stopIfTrue="1" operator="notEqual">
      <formula>0</formula>
    </cfRule>
  </conditionalFormatting>
  <conditionalFormatting sqref="BV7:BV8">
    <cfRule type="cellIs" dxfId="46" priority="51" stopIfTrue="1" operator="notEqual">
      <formula>0</formula>
    </cfRule>
  </conditionalFormatting>
  <conditionalFormatting sqref="BV7:BV8">
    <cfRule type="cellIs" dxfId="45" priority="50" stopIfTrue="1" operator="notEqual">
      <formula>0</formula>
    </cfRule>
  </conditionalFormatting>
  <conditionalFormatting sqref="BQ11 BU11:CA11">
    <cfRule type="expression" dxfId="44" priority="42" stopIfTrue="1">
      <formula>BQ$11=BQ$13</formula>
    </cfRule>
  </conditionalFormatting>
  <conditionalFormatting sqref="BQ11 BU11:CA11">
    <cfRule type="expression" dxfId="43" priority="43" stopIfTrue="1">
      <formula>BQ$11=BQ$13</formula>
    </cfRule>
  </conditionalFormatting>
  <conditionalFormatting sqref="BU12:BV12 BX12:BY12">
    <cfRule type="expression" dxfId="42" priority="44" stopIfTrue="1">
      <formula>BU$11=BU$13</formula>
    </cfRule>
  </conditionalFormatting>
  <conditionalFormatting sqref="BU12:BV12 BX12:BY12">
    <cfRule type="expression" dxfId="41" priority="45" stopIfTrue="1">
      <formula>BU$11=BU$13</formula>
    </cfRule>
  </conditionalFormatting>
  <conditionalFormatting sqref="BR11:BT11">
    <cfRule type="expression" dxfId="40" priority="40" stopIfTrue="1">
      <formula>BR$11=BR$13</formula>
    </cfRule>
  </conditionalFormatting>
  <conditionalFormatting sqref="BR11:BT11">
    <cfRule type="expression" dxfId="39" priority="41" stopIfTrue="1">
      <formula>BR$11=BR$13</formula>
    </cfRule>
  </conditionalFormatting>
  <conditionalFormatting sqref="BX6">
    <cfRule type="cellIs" dxfId="38" priority="39" stopIfTrue="1" operator="notEqual">
      <formula>0</formula>
    </cfRule>
  </conditionalFormatting>
  <conditionalFormatting sqref="CS13">
    <cfRule type="cellIs" dxfId="37" priority="38" stopIfTrue="1" operator="equal">
      <formula>0</formula>
    </cfRule>
  </conditionalFormatting>
  <conditionalFormatting sqref="CS13">
    <cfRule type="cellIs" dxfId="36" priority="37" stopIfTrue="1" operator="notEqual">
      <formula>0</formula>
    </cfRule>
  </conditionalFormatting>
  <conditionalFormatting sqref="CS13">
    <cfRule type="cellIs" dxfId="35" priority="36" stopIfTrue="1" operator="equal">
      <formula>0</formula>
    </cfRule>
  </conditionalFormatting>
  <conditionalFormatting sqref="CS13">
    <cfRule type="cellIs" dxfId="34" priority="35" stopIfTrue="1" operator="notEqual">
      <formula>0</formula>
    </cfRule>
  </conditionalFormatting>
  <conditionalFormatting sqref="CS11">
    <cfRule type="expression" dxfId="33" priority="33" stopIfTrue="1">
      <formula>CS$11=CS$13</formula>
    </cfRule>
  </conditionalFormatting>
  <conditionalFormatting sqref="CS11">
    <cfRule type="expression" dxfId="32" priority="34" stopIfTrue="1">
      <formula>CS$11=CS$13</formula>
    </cfRule>
  </conditionalFormatting>
  <conditionalFormatting sqref="AW54:AW96">
    <cfRule type="cellIs" dxfId="31" priority="32" stopIfTrue="1" operator="equal">
      <formula>0</formula>
    </cfRule>
  </conditionalFormatting>
  <conditionalFormatting sqref="AW54:AW96">
    <cfRule type="cellIs" dxfId="30" priority="31" stopIfTrue="1" operator="notEqual">
      <formula>0</formula>
    </cfRule>
  </conditionalFormatting>
  <conditionalFormatting sqref="AY54:AZ96">
    <cfRule type="cellIs" dxfId="29" priority="30" stopIfTrue="1" operator="equal">
      <formula>0</formula>
    </cfRule>
  </conditionalFormatting>
  <conditionalFormatting sqref="AY54:AZ96">
    <cfRule type="cellIs" dxfId="28" priority="29" stopIfTrue="1" operator="notEqual">
      <formula>0</formula>
    </cfRule>
  </conditionalFormatting>
  <conditionalFormatting sqref="AY54:AZ96">
    <cfRule type="cellIs" dxfId="27" priority="28" stopIfTrue="1" operator="equal">
      <formula>0</formula>
    </cfRule>
  </conditionalFormatting>
  <conditionalFormatting sqref="AY54:AZ96">
    <cfRule type="cellIs" dxfId="26" priority="27" stopIfTrue="1" operator="notEqual">
      <formula>0</formula>
    </cfRule>
  </conditionalFormatting>
  <conditionalFormatting sqref="AX54:AX96">
    <cfRule type="cellIs" dxfId="25" priority="26" stopIfTrue="1" operator="equal">
      <formula>0</formula>
    </cfRule>
  </conditionalFormatting>
  <conditionalFormatting sqref="AX54:AX96">
    <cfRule type="cellIs" dxfId="24" priority="25" stopIfTrue="1" operator="notEqual">
      <formula>0</formula>
    </cfRule>
  </conditionalFormatting>
  <conditionalFormatting sqref="AX54:AX96">
    <cfRule type="cellIs" dxfId="23" priority="24" stopIfTrue="1" operator="equal">
      <formula>0</formula>
    </cfRule>
  </conditionalFormatting>
  <conditionalFormatting sqref="AX54:AX96">
    <cfRule type="cellIs" dxfId="22" priority="23" stopIfTrue="1" operator="notEqual">
      <formula>0</formula>
    </cfRule>
  </conditionalFormatting>
  <conditionalFormatting sqref="X54:X96">
    <cfRule type="cellIs" dxfId="21" priority="22" stopIfTrue="1" operator="equal">
      <formula>0</formula>
    </cfRule>
  </conditionalFormatting>
  <conditionalFormatting sqref="X54:X96">
    <cfRule type="cellIs" dxfId="20" priority="21" stopIfTrue="1" operator="notEqual">
      <formula>0</formula>
    </cfRule>
  </conditionalFormatting>
  <conditionalFormatting sqref="X54:X96">
    <cfRule type="cellIs" dxfId="19" priority="20" stopIfTrue="1" operator="equal">
      <formula>0</formula>
    </cfRule>
  </conditionalFormatting>
  <conditionalFormatting sqref="X54:X96">
    <cfRule type="cellIs" dxfId="18" priority="19" stopIfTrue="1" operator="notEqual">
      <formula>0</formula>
    </cfRule>
  </conditionalFormatting>
  <conditionalFormatting sqref="Z54:Z96">
    <cfRule type="cellIs" dxfId="17" priority="18" stopIfTrue="1" operator="equal">
      <formula>0</formula>
    </cfRule>
  </conditionalFormatting>
  <conditionalFormatting sqref="Z54:Z96">
    <cfRule type="cellIs" dxfId="16" priority="17" stopIfTrue="1" operator="notEqual">
      <formula>0</formula>
    </cfRule>
  </conditionalFormatting>
  <conditionalFormatting sqref="Z54:Z96">
    <cfRule type="cellIs" dxfId="15" priority="16" stopIfTrue="1" operator="equal">
      <formula>0</formula>
    </cfRule>
  </conditionalFormatting>
  <conditionalFormatting sqref="Z54:Z96">
    <cfRule type="cellIs" dxfId="14" priority="15" stopIfTrue="1" operator="notEqual">
      <formula>0</formula>
    </cfRule>
  </conditionalFormatting>
  <conditionalFormatting sqref="Z54:Z96">
    <cfRule type="cellIs" dxfId="13" priority="14" stopIfTrue="1" operator="equal">
      <formula>0</formula>
    </cfRule>
  </conditionalFormatting>
  <conditionalFormatting sqref="Z54:Z96">
    <cfRule type="cellIs" dxfId="12" priority="13" stopIfTrue="1" operator="notEqual">
      <formula>0</formula>
    </cfRule>
  </conditionalFormatting>
  <conditionalFormatting sqref="Z54:Z96">
    <cfRule type="cellIs" dxfId="11" priority="12" stopIfTrue="1" operator="equal">
      <formula>0</formula>
    </cfRule>
  </conditionalFormatting>
  <conditionalFormatting sqref="Z54:Z96">
    <cfRule type="cellIs" dxfId="10" priority="11" stopIfTrue="1" operator="notEqual">
      <formula>0</formula>
    </cfRule>
  </conditionalFormatting>
  <conditionalFormatting sqref="BV54:BV96 BX54:BY96">
    <cfRule type="cellIs" dxfId="9" priority="8" stopIfTrue="1" operator="equal">
      <formula>"ок!"</formula>
    </cfRule>
    <cfRule type="cellIs" dxfId="8" priority="9" stopIfTrue="1" operator="equal">
      <formula>0</formula>
    </cfRule>
    <cfRule type="cellIs" dxfId="7" priority="10" stopIfTrue="1" operator="notEqual">
      <formula>"ОК!"</formula>
    </cfRule>
  </conditionalFormatting>
  <conditionalFormatting sqref="CG17:CG96 CI17:CI96">
    <cfRule type="cellIs" dxfId="6" priority="5" stopIfTrue="1" operator="equal">
      <formula>"ок!"</formula>
    </cfRule>
    <cfRule type="cellIs" dxfId="5" priority="6" stopIfTrue="1" operator="equal">
      <formula>0</formula>
    </cfRule>
    <cfRule type="cellIs" dxfId="4" priority="7" stopIfTrue="1" operator="notEqual">
      <formula>"ОК!"</formula>
    </cfRule>
  </conditionalFormatting>
  <conditionalFormatting sqref="BN17:BN96 BP17:BP96">
    <cfRule type="cellIs" dxfId="3" priority="2" stopIfTrue="1" operator="equal">
      <formula>"ок!"</formula>
    </cfRule>
    <cfRule type="cellIs" dxfId="2" priority="3" stopIfTrue="1" operator="equal">
      <formula>0</formula>
    </cfRule>
    <cfRule type="cellIs" dxfId="1" priority="4" stopIfTrue="1" operator="notEqual">
      <formula>"ОК!"</formula>
    </cfRule>
  </conditionalFormatting>
  <conditionalFormatting sqref="BK97:BK100">
    <cfRule type="cellIs" dxfId="0" priority="1" operator="equal">
      <formula>0</formula>
    </cfRule>
  </conditionalFormatting>
  <dataValidations count="1">
    <dataValidation type="list" allowBlank="1" showInputMessage="1" showErrorMessage="1" sqref="AU17:AU96">
      <formula1>$AU$1:$AU$6</formula1>
    </dataValidation>
  </dataValidations>
  <pageMargins left="0.59055118110236227" right="0.19685039370078741" top="0.43307086614173229" bottom="0.98425196850393704" header="0.23622047244094491" footer="0.51181102362204722"/>
  <pageSetup paperSize="9" scale="10" fitToHeight="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НДС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2022-02-06T12:59:56Z</dcterms:modified>
</cp:coreProperties>
</file>